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6"/>
  </bookViews>
  <sheets>
    <sheet name="DCVC" sheetId="1" r:id="rId1"/>
    <sheet name="DCVC-HEM" sheetId="2" r:id="rId2"/>
    <sheet name="x265" sheetId="3" r:id="rId3"/>
    <sheet name="HEVC-HM18.0" sheetId="4" r:id="rId4"/>
    <sheet name="VVC VTM20.0" sheetId="5" r:id="rId5"/>
    <sheet name="HiNeRV (our environment)" sheetId="6" r:id="rId6"/>
    <sheet name="DCM-VideoNet (Ours)" sheetId="7" r:id="rId7"/>
  </sheets>
  <calcPr calcId="152511"/>
</workbook>
</file>

<file path=xl/calcChain.xml><?xml version="1.0" encoding="utf-8"?>
<calcChain xmlns="http://schemas.openxmlformats.org/spreadsheetml/2006/main">
  <c r="Q40" i="7" l="1"/>
  <c r="M40" i="7"/>
  <c r="I40" i="7"/>
  <c r="E40" i="7"/>
  <c r="Q38" i="7"/>
  <c r="O38" i="7"/>
  <c r="M38" i="7"/>
  <c r="K38" i="7"/>
  <c r="I38" i="7"/>
  <c r="G38" i="7"/>
  <c r="E38" i="7"/>
  <c r="C38" i="7"/>
  <c r="Q40" i="6"/>
  <c r="M40" i="6"/>
  <c r="I40" i="6"/>
  <c r="E40" i="6"/>
  <c r="Q38" i="6"/>
  <c r="O38" i="6"/>
  <c r="M38" i="6"/>
  <c r="K38" i="6"/>
  <c r="I38" i="6"/>
  <c r="G38" i="6"/>
  <c r="E38" i="6"/>
  <c r="C38" i="6"/>
  <c r="Y40" i="5"/>
  <c r="U40" i="5"/>
  <c r="Q40" i="5"/>
  <c r="M40" i="5"/>
  <c r="I40" i="5"/>
  <c r="H40" i="5"/>
  <c r="G40" i="5"/>
  <c r="E40" i="5"/>
  <c r="Y38" i="5"/>
  <c r="W38" i="5"/>
  <c r="U38" i="5"/>
  <c r="S38" i="5"/>
  <c r="Q38" i="5"/>
  <c r="O38" i="5"/>
  <c r="M38" i="5"/>
  <c r="K38" i="5"/>
  <c r="I38" i="5"/>
  <c r="G38" i="5"/>
  <c r="E38" i="5"/>
  <c r="C38" i="5"/>
  <c r="U40" i="4"/>
  <c r="Q40" i="4"/>
  <c r="M40" i="4"/>
  <c r="I40" i="4"/>
  <c r="E40" i="4"/>
  <c r="U38" i="4"/>
  <c r="S38" i="4"/>
  <c r="Q38" i="4"/>
  <c r="O38" i="4"/>
  <c r="M38" i="4"/>
  <c r="K38" i="4"/>
  <c r="I38" i="4"/>
  <c r="G38" i="4"/>
  <c r="E38" i="4"/>
  <c r="C38" i="4"/>
  <c r="U40" i="3"/>
  <c r="Q40" i="3"/>
  <c r="M40" i="3"/>
  <c r="I40" i="3"/>
  <c r="E40" i="3"/>
  <c r="U38" i="3"/>
  <c r="S38" i="3"/>
  <c r="Q38" i="3"/>
  <c r="O38" i="3"/>
  <c r="M38" i="3"/>
  <c r="K38" i="3"/>
  <c r="I38" i="3"/>
  <c r="G38" i="3"/>
  <c r="E38" i="3"/>
  <c r="C38" i="3"/>
  <c r="BE39" i="2"/>
  <c r="BA39" i="2"/>
  <c r="AW39" i="2"/>
  <c r="AS39" i="2"/>
  <c r="AO39" i="2"/>
  <c r="AK39" i="2"/>
  <c r="AG39" i="2"/>
  <c r="AC39" i="2"/>
  <c r="Y39" i="2"/>
  <c r="U39" i="2"/>
  <c r="Q39" i="2"/>
  <c r="M39" i="2"/>
  <c r="I39" i="2"/>
  <c r="E39" i="2"/>
  <c r="BE37" i="2"/>
  <c r="BC37" i="2"/>
  <c r="BA37" i="2"/>
  <c r="AY37" i="2"/>
  <c r="AW37" i="2"/>
  <c r="AU37" i="2"/>
  <c r="AS37" i="2"/>
  <c r="AQ37" i="2"/>
  <c r="AO37" i="2"/>
  <c r="AM37" i="2"/>
  <c r="AK37" i="2"/>
  <c r="AI37" i="2"/>
  <c r="AG37" i="2"/>
  <c r="AE37" i="2"/>
  <c r="AC37" i="2"/>
  <c r="AA37" i="2"/>
  <c r="Y37" i="2"/>
  <c r="W37" i="2"/>
  <c r="U37" i="2"/>
  <c r="S37" i="2"/>
  <c r="Q37" i="2"/>
  <c r="O37" i="2"/>
  <c r="M37" i="2"/>
  <c r="K37" i="2"/>
  <c r="I37" i="2"/>
  <c r="G37" i="2"/>
  <c r="E37" i="2"/>
  <c r="C37" i="2"/>
  <c r="Q39" i="1"/>
  <c r="O39" i="1"/>
  <c r="M39" i="1"/>
  <c r="K39" i="1"/>
  <c r="I39" i="1"/>
  <c r="G39" i="1"/>
  <c r="E39" i="1"/>
  <c r="C39" i="1"/>
  <c r="Q37" i="1"/>
  <c r="O37" i="1"/>
  <c r="M37" i="1"/>
  <c r="K37" i="1"/>
  <c r="I37" i="1"/>
  <c r="G37" i="1"/>
  <c r="E37" i="1"/>
  <c r="C37" i="1"/>
</calcChain>
</file>

<file path=xl/sharedStrings.xml><?xml version="1.0" encoding="utf-8"?>
<sst xmlns="http://schemas.openxmlformats.org/spreadsheetml/2006/main" count="1424" uniqueCount="21">
  <si>
    <t>beauty</t>
  </si>
  <si>
    <t>bpp</t>
  </si>
  <si>
    <t>psnr</t>
  </si>
  <si>
    <t>msssim</t>
  </si>
  <si>
    <t>bosphorus</t>
  </si>
  <si>
    <t>honey</t>
  </si>
  <si>
    <t>jockey</t>
  </si>
  <si>
    <t>readysetgo</t>
  </si>
  <si>
    <t>shake</t>
  </si>
  <si>
    <t>yacht</t>
  </si>
  <si>
    <t>Avg</t>
  </si>
  <si>
    <t>QP 22</t>
  </si>
  <si>
    <t>QP 27</t>
  </si>
  <si>
    <t>QP 32</t>
  </si>
  <si>
    <t>QP 37</t>
  </si>
  <si>
    <t>QP 42</t>
  </si>
  <si>
    <t>QP 35</t>
  </si>
  <si>
    <t>Model XXS (size: 0.8M)</t>
  </si>
  <si>
    <t>Model XS (size: 1.5M)</t>
  </si>
  <si>
    <t>Model S (size: 3M)</t>
  </si>
  <si>
    <t>Model M (size: 6M)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</si>
</sst>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0"/>
    <numFmt numFmtId="177" formatCode="0.000000000000000"/>
    <numFmt numFmtId="178" formatCode="0.0000000000"/>
  </numFmts>
  <fonts count="3">
    <font>
      <sz val="12"/>
      <color theme="1"/>
      <name val="新細明體"/>
      <family val="2"/>
      <scheme val="minor"/>
    </font>
    <font>
      <b/>
      <sz val="12"/>
      <color theme="1"/>
      <name val="Liberation Sans"/>
      <family val="1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F9D4"/>
        <bgColor rgb="FFF6F9D4"/>
      </patternFill>
    </fill>
    <fill>
      <patternFill patternType="solid">
        <fgColor rgb="FFDEE7E5"/>
        <bgColor rgb="FFDEE7E5"/>
      </patternFill>
    </fill>
    <fill>
      <patternFill patternType="solid">
        <fgColor rgb="FFFFDBB6"/>
        <bgColor rgb="FFFFDBB6"/>
      </patternFill>
    </fill>
    <fill>
      <patternFill patternType="solid">
        <fgColor rgb="FFB2B2B2"/>
        <bgColor rgb="FFB2B2B2"/>
      </patternFill>
    </fill>
    <fill>
      <patternFill patternType="solid">
        <fgColor rgb="FFFFD7D7"/>
        <bgColor rgb="FF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selection sqref="A1:R39"/>
    </sheetView>
  </sheetViews>
  <sheetFormatPr defaultRowHeight="16.5"/>
  <sheetData>
    <row r="1" spans="1:18">
      <c r="A1" s="1" t="s">
        <v>0</v>
      </c>
      <c r="B1" s="1"/>
      <c r="C1" s="2" t="s">
        <v>1</v>
      </c>
      <c r="D1" s="2"/>
      <c r="E1" s="2" t="s">
        <v>2</v>
      </c>
      <c r="F1" s="2"/>
      <c r="G1" s="3" t="s">
        <v>1</v>
      </c>
      <c r="H1" s="3"/>
      <c r="I1" s="3" t="s">
        <v>2</v>
      </c>
      <c r="J1" s="3"/>
      <c r="K1" s="4" t="s">
        <v>1</v>
      </c>
      <c r="L1" s="4"/>
      <c r="M1" s="4" t="s">
        <v>2</v>
      </c>
      <c r="N1" s="4"/>
      <c r="O1" s="5" t="s">
        <v>1</v>
      </c>
      <c r="P1" s="5"/>
      <c r="Q1" s="5" t="s">
        <v>2</v>
      </c>
      <c r="R1" s="5"/>
    </row>
    <row r="2" spans="1:18">
      <c r="A2" s="1"/>
      <c r="B2" s="1"/>
      <c r="C2" s="6">
        <v>1.6184753324319099E-2</v>
      </c>
      <c r="D2" s="6"/>
      <c r="E2" s="6">
        <v>33.562647368113197</v>
      </c>
      <c r="F2" s="6"/>
      <c r="G2" s="6">
        <v>2.53603293516984E-2</v>
      </c>
      <c r="H2" s="6"/>
      <c r="I2" s="6">
        <v>33.897810223897302</v>
      </c>
      <c r="J2" s="6"/>
      <c r="K2" s="6">
        <v>5.06941390819848E-2</v>
      </c>
      <c r="L2" s="6"/>
      <c r="M2" s="6">
        <v>34.198875115712497</v>
      </c>
      <c r="N2" s="6"/>
      <c r="O2" s="6">
        <v>0.12558185857948301</v>
      </c>
      <c r="P2" s="6"/>
      <c r="Q2" s="6">
        <v>34.678737754821803</v>
      </c>
      <c r="R2" s="6"/>
    </row>
    <row r="3" spans="1:18">
      <c r="A3" s="1"/>
      <c r="B3" s="1"/>
      <c r="C3" s="2" t="s">
        <v>1</v>
      </c>
      <c r="D3" s="2"/>
      <c r="E3" s="2" t="s">
        <v>3</v>
      </c>
      <c r="F3" s="2"/>
      <c r="G3" s="3" t="s">
        <v>1</v>
      </c>
      <c r="H3" s="3"/>
      <c r="I3" s="3" t="s">
        <v>3</v>
      </c>
      <c r="J3" s="3"/>
      <c r="K3" s="4" t="s">
        <v>1</v>
      </c>
      <c r="L3" s="4"/>
      <c r="M3" s="4" t="s">
        <v>3</v>
      </c>
      <c r="N3" s="4"/>
      <c r="O3" s="5" t="s">
        <v>1</v>
      </c>
      <c r="P3" s="5"/>
      <c r="Q3" s="5" t="s">
        <v>3</v>
      </c>
      <c r="R3" s="5"/>
    </row>
    <row r="4" spans="1:18">
      <c r="A4" s="1"/>
      <c r="B4" s="1"/>
      <c r="C4" s="6">
        <v>0.115631670375665</v>
      </c>
      <c r="D4" s="6"/>
      <c r="E4" s="6">
        <v>0.92266026089588804</v>
      </c>
      <c r="F4" s="6"/>
      <c r="G4" s="6">
        <v>0.25463974654343402</v>
      </c>
      <c r="H4" s="6"/>
      <c r="I4" s="6">
        <v>0.94311093628406495</v>
      </c>
      <c r="J4" s="6"/>
      <c r="K4" s="6">
        <v>0.46942189725571198</v>
      </c>
      <c r="L4" s="6"/>
      <c r="M4" s="6">
        <v>0.95901428729295701</v>
      </c>
      <c r="N4" s="6"/>
      <c r="O4" s="6">
        <v>0.69939041843016903</v>
      </c>
      <c r="P4" s="6"/>
      <c r="Q4" s="6">
        <v>0.97147011439005504</v>
      </c>
      <c r="R4" s="6"/>
    </row>
    <row r="5" spans="1:18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>
      <c r="A6" s="1" t="s">
        <v>4</v>
      </c>
      <c r="B6" s="1"/>
      <c r="C6" s="2" t="s">
        <v>1</v>
      </c>
      <c r="D6" s="2"/>
      <c r="E6" s="2" t="s">
        <v>2</v>
      </c>
      <c r="F6" s="2"/>
      <c r="G6" s="3" t="s">
        <v>1</v>
      </c>
      <c r="H6" s="3"/>
      <c r="I6" s="3" t="s">
        <v>2</v>
      </c>
      <c r="J6" s="3"/>
      <c r="K6" s="4" t="s">
        <v>1</v>
      </c>
      <c r="L6" s="4"/>
      <c r="M6" s="4" t="s">
        <v>2</v>
      </c>
      <c r="N6" s="4"/>
      <c r="O6" s="5" t="s">
        <v>1</v>
      </c>
      <c r="P6" s="5"/>
      <c r="Q6" s="5" t="s">
        <v>2</v>
      </c>
      <c r="R6" s="5"/>
    </row>
    <row r="7" spans="1:18">
      <c r="A7" s="1"/>
      <c r="B7" s="1"/>
      <c r="C7" s="6">
        <v>1.7864374536193099E-2</v>
      </c>
      <c r="D7" s="6"/>
      <c r="E7" s="6">
        <v>35.296263256072997</v>
      </c>
      <c r="F7" s="6"/>
      <c r="G7" s="6">
        <v>2.63572477345458E-2</v>
      </c>
      <c r="H7" s="6"/>
      <c r="I7" s="6">
        <v>36.548831774393697</v>
      </c>
      <c r="J7" s="6"/>
      <c r="K7" s="6">
        <v>3.9120474002220601E-2</v>
      </c>
      <c r="L7" s="6"/>
      <c r="M7" s="6">
        <v>37.844055926004998</v>
      </c>
      <c r="N7" s="6"/>
      <c r="O7" s="6">
        <v>6.0326219686617499E-2</v>
      </c>
      <c r="P7" s="6"/>
      <c r="Q7" s="6">
        <v>39.195268376668302</v>
      </c>
      <c r="R7" s="6"/>
    </row>
    <row r="8" spans="1:18">
      <c r="A8" s="1"/>
      <c r="B8" s="1"/>
      <c r="C8" s="2" t="s">
        <v>1</v>
      </c>
      <c r="D8" s="2"/>
      <c r="E8" s="2" t="s">
        <v>3</v>
      </c>
      <c r="F8" s="2"/>
      <c r="G8" s="3" t="s">
        <v>1</v>
      </c>
      <c r="H8" s="3"/>
      <c r="I8" s="3" t="s">
        <v>3</v>
      </c>
      <c r="J8" s="3"/>
      <c r="K8" s="4" t="s">
        <v>1</v>
      </c>
      <c r="L8" s="4"/>
      <c r="M8" s="4" t="s">
        <v>3</v>
      </c>
      <c r="N8" s="4"/>
      <c r="O8" s="5" t="s">
        <v>1</v>
      </c>
      <c r="P8" s="5"/>
      <c r="Q8" s="5" t="s">
        <v>3</v>
      </c>
      <c r="R8" s="5"/>
    </row>
    <row r="9" spans="1:18">
      <c r="A9" s="1"/>
      <c r="B9" s="1"/>
      <c r="C9" s="6">
        <v>3.9380164420853098E-2</v>
      </c>
      <c r="D9" s="6"/>
      <c r="E9" s="6">
        <v>0.97436537226041198</v>
      </c>
      <c r="F9" s="6"/>
      <c r="G9" s="6">
        <v>6.5339844561699403E-2</v>
      </c>
      <c r="H9" s="6"/>
      <c r="I9" s="6">
        <v>0.98096910307804697</v>
      </c>
      <c r="J9" s="6"/>
      <c r="K9" s="6">
        <v>0.11511405515256901</v>
      </c>
      <c r="L9" s="6"/>
      <c r="M9" s="6">
        <v>0.98623549213012096</v>
      </c>
      <c r="N9" s="6"/>
      <c r="O9" s="6">
        <v>0.189771497080723</v>
      </c>
      <c r="P9" s="6"/>
      <c r="Q9" s="6">
        <v>0.98944369862477</v>
      </c>
      <c r="R9" s="6"/>
    </row>
    <row r="10" spans="1:1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A11" s="1" t="s">
        <v>5</v>
      </c>
      <c r="B11" s="1"/>
      <c r="C11" s="2" t="s">
        <v>1</v>
      </c>
      <c r="D11" s="2"/>
      <c r="E11" s="2" t="s">
        <v>2</v>
      </c>
      <c r="F11" s="2"/>
      <c r="G11" s="3" t="s">
        <v>1</v>
      </c>
      <c r="H11" s="3"/>
      <c r="I11" s="3" t="s">
        <v>2</v>
      </c>
      <c r="J11" s="3"/>
      <c r="K11" s="4" t="s">
        <v>1</v>
      </c>
      <c r="L11" s="4"/>
      <c r="M11" s="4" t="s">
        <v>2</v>
      </c>
      <c r="N11" s="4"/>
      <c r="O11" s="5" t="s">
        <v>1</v>
      </c>
      <c r="P11" s="5"/>
      <c r="Q11" s="5" t="s">
        <v>2</v>
      </c>
      <c r="R11" s="5"/>
    </row>
    <row r="12" spans="1:18">
      <c r="A12" s="1"/>
      <c r="B12" s="1"/>
      <c r="C12" s="6">
        <v>1.3821191803241799E-2</v>
      </c>
      <c r="D12" s="6"/>
      <c r="E12" s="6">
        <v>34.214099229176803</v>
      </c>
      <c r="F12" s="6"/>
      <c r="G12" s="6">
        <v>2.0862198723324898E-2</v>
      </c>
      <c r="H12" s="6"/>
      <c r="I12" s="6">
        <v>35.481134230295801</v>
      </c>
      <c r="J12" s="6"/>
      <c r="K12" s="6">
        <v>3.1883745043021099E-2</v>
      </c>
      <c r="L12" s="6"/>
      <c r="M12" s="6">
        <v>36.425754604339602</v>
      </c>
      <c r="N12" s="6"/>
      <c r="O12" s="6">
        <v>4.6385415651525097E-2</v>
      </c>
      <c r="P12" s="6"/>
      <c r="Q12" s="6">
        <v>37.309442653655999</v>
      </c>
      <c r="R12" s="6"/>
    </row>
    <row r="13" spans="1:18">
      <c r="A13" s="1"/>
      <c r="B13" s="1"/>
      <c r="C13" s="2" t="s">
        <v>1</v>
      </c>
      <c r="D13" s="2"/>
      <c r="E13" s="2" t="s">
        <v>3</v>
      </c>
      <c r="F13" s="2"/>
      <c r="G13" s="3" t="s">
        <v>1</v>
      </c>
      <c r="H13" s="3"/>
      <c r="I13" s="3" t="s">
        <v>3</v>
      </c>
      <c r="J13" s="3"/>
      <c r="K13" s="4" t="s">
        <v>1</v>
      </c>
      <c r="L13" s="4"/>
      <c r="M13" s="4" t="s">
        <v>3</v>
      </c>
      <c r="N13" s="4"/>
      <c r="O13" s="5" t="s">
        <v>1</v>
      </c>
      <c r="P13" s="5"/>
      <c r="Q13" s="5" t="s">
        <v>3</v>
      </c>
      <c r="R13" s="5"/>
    </row>
    <row r="14" spans="1:18">
      <c r="A14" s="1"/>
      <c r="B14" s="1"/>
      <c r="C14" s="6">
        <v>2.42282191292486E-2</v>
      </c>
      <c r="D14" s="6"/>
      <c r="E14" s="6">
        <v>0.97028298387924805</v>
      </c>
      <c r="F14" s="6"/>
      <c r="G14" s="6">
        <v>5.34342264793813E-2</v>
      </c>
      <c r="H14" s="6"/>
      <c r="I14" s="6">
        <v>0.97697875032822301</v>
      </c>
      <c r="J14" s="6"/>
      <c r="K14" s="6">
        <v>0.13291985504329201</v>
      </c>
      <c r="L14" s="6"/>
      <c r="M14" s="6">
        <v>0.98246420055627803</v>
      </c>
      <c r="N14" s="6"/>
      <c r="O14" s="6">
        <v>0.24501053903334699</v>
      </c>
      <c r="P14" s="6"/>
      <c r="Q14" s="6">
        <v>0.98684775908788003</v>
      </c>
      <c r="R14" s="6"/>
    </row>
    <row r="15" spans="1:1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>
      <c r="A16" s="1" t="s">
        <v>6</v>
      </c>
      <c r="B16" s="1"/>
      <c r="C16" s="2" t="s">
        <v>1</v>
      </c>
      <c r="D16" s="2"/>
      <c r="E16" s="2" t="s">
        <v>2</v>
      </c>
      <c r="F16" s="2"/>
      <c r="G16" s="3" t="s">
        <v>1</v>
      </c>
      <c r="H16" s="3"/>
      <c r="I16" s="3" t="s">
        <v>2</v>
      </c>
      <c r="J16" s="3"/>
      <c r="K16" s="4" t="s">
        <v>1</v>
      </c>
      <c r="L16" s="4"/>
      <c r="M16" s="4" t="s">
        <v>2</v>
      </c>
      <c r="N16" s="4"/>
      <c r="O16" s="5" t="s">
        <v>1</v>
      </c>
      <c r="P16" s="5"/>
      <c r="Q16" s="5" t="s">
        <v>2</v>
      </c>
      <c r="R16" s="5"/>
    </row>
    <row r="17" spans="1:18">
      <c r="A17" s="1"/>
      <c r="B17" s="1"/>
      <c r="C17" s="6">
        <v>2.5811364738581099E-2</v>
      </c>
      <c r="D17" s="6"/>
      <c r="E17" s="6">
        <v>35.812498060862197</v>
      </c>
      <c r="F17" s="6"/>
      <c r="G17" s="6">
        <v>3.4954503261794702E-2</v>
      </c>
      <c r="H17" s="6"/>
      <c r="I17" s="6">
        <v>36.873807290395099</v>
      </c>
      <c r="J17" s="6"/>
      <c r="K17" s="6">
        <v>4.81414452046156E-2</v>
      </c>
      <c r="L17" s="6"/>
      <c r="M17" s="6">
        <v>37.796849644978799</v>
      </c>
      <c r="N17" s="6"/>
      <c r="O17" s="6">
        <v>7.6496081091877499E-2</v>
      </c>
      <c r="P17" s="6"/>
      <c r="Q17" s="6">
        <v>38.535459423065198</v>
      </c>
      <c r="R17" s="6"/>
    </row>
    <row r="18" spans="1:18">
      <c r="A18" s="1"/>
      <c r="B18" s="1"/>
      <c r="C18" s="2" t="s">
        <v>1</v>
      </c>
      <c r="D18" s="2"/>
      <c r="E18" s="2" t="s">
        <v>3</v>
      </c>
      <c r="F18" s="2"/>
      <c r="G18" s="3" t="s">
        <v>1</v>
      </c>
      <c r="H18" s="3"/>
      <c r="I18" s="3" t="s">
        <v>3</v>
      </c>
      <c r="J18" s="3"/>
      <c r="K18" s="4" t="s">
        <v>1</v>
      </c>
      <c r="L18" s="4"/>
      <c r="M18" s="4" t="s">
        <v>3</v>
      </c>
      <c r="N18" s="4"/>
      <c r="O18" s="5" t="s">
        <v>1</v>
      </c>
      <c r="P18" s="5"/>
      <c r="Q18" s="5" t="s">
        <v>3</v>
      </c>
      <c r="R18" s="5"/>
    </row>
    <row r="19" spans="1:18">
      <c r="A19" s="1"/>
      <c r="B19" s="1"/>
      <c r="C19" s="6">
        <v>6.1938394786376097E-2</v>
      </c>
      <c r="D19" s="6"/>
      <c r="E19" s="6">
        <v>0.96762776583433197</v>
      </c>
      <c r="F19" s="6"/>
      <c r="G19" s="6">
        <v>0.107909212787946</v>
      </c>
      <c r="H19" s="6"/>
      <c r="I19" s="6">
        <v>0.97407401253779702</v>
      </c>
      <c r="J19" s="6"/>
      <c r="K19" s="6">
        <v>0.21032863461474599</v>
      </c>
      <c r="L19" s="6"/>
      <c r="M19" s="6">
        <v>0.98007543434699396</v>
      </c>
      <c r="N19" s="6"/>
      <c r="O19" s="6">
        <v>0.37047291912966301</v>
      </c>
      <c r="P19" s="6"/>
      <c r="Q19" s="6">
        <v>0.98549972395102203</v>
      </c>
      <c r="R19" s="6"/>
    </row>
    <row r="20" spans="1:1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>
      <c r="A21" s="1" t="s">
        <v>7</v>
      </c>
      <c r="B21" s="1"/>
      <c r="C21" s="2" t="s">
        <v>1</v>
      </c>
      <c r="D21" s="2"/>
      <c r="E21" s="2" t="s">
        <v>2</v>
      </c>
      <c r="F21" s="2"/>
      <c r="G21" s="3" t="s">
        <v>1</v>
      </c>
      <c r="H21" s="3"/>
      <c r="I21" s="3" t="s">
        <v>2</v>
      </c>
      <c r="J21" s="3"/>
      <c r="K21" s="4" t="s">
        <v>1</v>
      </c>
      <c r="L21" s="4"/>
      <c r="M21" s="4" t="s">
        <v>2</v>
      </c>
      <c r="N21" s="4"/>
      <c r="O21" s="5" t="s">
        <v>1</v>
      </c>
      <c r="P21" s="5"/>
      <c r="Q21" s="5" t="s">
        <v>2</v>
      </c>
      <c r="R21" s="5"/>
    </row>
    <row r="22" spans="1:18">
      <c r="A22" s="1"/>
      <c r="B22" s="1"/>
      <c r="C22" s="6">
        <v>3.9645959059604302E-2</v>
      </c>
      <c r="D22" s="6"/>
      <c r="E22" s="6">
        <v>33.709471715291301</v>
      </c>
      <c r="F22" s="6"/>
      <c r="G22" s="6">
        <v>5.3717141172124297E-2</v>
      </c>
      <c r="H22" s="6"/>
      <c r="I22" s="6">
        <v>35.211119105021197</v>
      </c>
      <c r="J22" s="6"/>
      <c r="K22" s="6">
        <v>7.3010104199871403E-2</v>
      </c>
      <c r="L22" s="6"/>
      <c r="M22" s="6">
        <v>36.7561689376831</v>
      </c>
      <c r="N22" s="6"/>
      <c r="O22" s="6">
        <v>0.108853300344199</v>
      </c>
      <c r="P22" s="6"/>
      <c r="Q22" s="6">
        <v>38.156422468821198</v>
      </c>
      <c r="R22" s="6"/>
    </row>
    <row r="23" spans="1:18">
      <c r="A23" s="1"/>
      <c r="B23" s="1"/>
      <c r="C23" s="2" t="s">
        <v>1</v>
      </c>
      <c r="D23" s="2"/>
      <c r="E23" s="2" t="s">
        <v>3</v>
      </c>
      <c r="F23" s="2"/>
      <c r="G23" s="3" t="s">
        <v>1</v>
      </c>
      <c r="H23" s="3"/>
      <c r="I23" s="3" t="s">
        <v>3</v>
      </c>
      <c r="J23" s="3"/>
      <c r="K23" s="4" t="s">
        <v>1</v>
      </c>
      <c r="L23" s="4"/>
      <c r="M23" s="4" t="s">
        <v>3</v>
      </c>
      <c r="N23" s="4"/>
      <c r="O23" s="5" t="s">
        <v>1</v>
      </c>
      <c r="P23" s="5"/>
      <c r="Q23" s="5" t="s">
        <v>3</v>
      </c>
      <c r="R23" s="5"/>
    </row>
    <row r="24" spans="1:18">
      <c r="A24" s="1"/>
      <c r="B24" s="1"/>
      <c r="C24" s="6">
        <v>4.7489803592364002E-2</v>
      </c>
      <c r="D24" s="6"/>
      <c r="E24" s="6">
        <v>0.97776049256324804</v>
      </c>
      <c r="F24" s="6"/>
      <c r="G24" s="6">
        <v>7.3232253652065996E-2</v>
      </c>
      <c r="H24" s="6"/>
      <c r="I24" s="6">
        <v>0.98363912949959398</v>
      </c>
      <c r="J24" s="6"/>
      <c r="K24" s="6">
        <v>0.119559031219118</v>
      </c>
      <c r="L24" s="6"/>
      <c r="M24" s="6">
        <v>0.98788039912780101</v>
      </c>
      <c r="N24" s="6"/>
      <c r="O24" s="6">
        <v>0.18798624271071601</v>
      </c>
      <c r="P24" s="6"/>
      <c r="Q24" s="6">
        <v>0.99074310183525105</v>
      </c>
      <c r="R24" s="6"/>
    </row>
    <row r="25" spans="1:18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>
      <c r="A26" s="1" t="s">
        <v>8</v>
      </c>
      <c r="B26" s="1"/>
      <c r="C26" s="2" t="s">
        <v>1</v>
      </c>
      <c r="D26" s="2"/>
      <c r="E26" s="2" t="s">
        <v>2</v>
      </c>
      <c r="F26" s="2"/>
      <c r="G26" s="3" t="s">
        <v>1</v>
      </c>
      <c r="H26" s="3"/>
      <c r="I26" s="3" t="s">
        <v>2</v>
      </c>
      <c r="J26" s="3"/>
      <c r="K26" s="4" t="s">
        <v>1</v>
      </c>
      <c r="L26" s="4"/>
      <c r="M26" s="4" t="s">
        <v>2</v>
      </c>
      <c r="N26" s="4"/>
      <c r="O26" s="5" t="s">
        <v>1</v>
      </c>
      <c r="P26" s="5"/>
      <c r="Q26" s="5" t="s">
        <v>2</v>
      </c>
      <c r="R26" s="5"/>
    </row>
    <row r="27" spans="1:18">
      <c r="A27" s="1"/>
      <c r="B27" s="1"/>
      <c r="C27" s="6">
        <v>3.5525737642413999E-2</v>
      </c>
      <c r="D27" s="6"/>
      <c r="E27" s="6">
        <v>33.154830881754599</v>
      </c>
      <c r="F27" s="6"/>
      <c r="G27" s="6">
        <v>5.7281389185124001E-2</v>
      </c>
      <c r="H27" s="6"/>
      <c r="I27" s="6">
        <v>34.399194793701199</v>
      </c>
      <c r="J27" s="6"/>
      <c r="K27" s="6">
        <v>9.1712179718332204E-2</v>
      </c>
      <c r="L27" s="6"/>
      <c r="M27" s="6">
        <v>35.576445032755501</v>
      </c>
      <c r="N27" s="6"/>
      <c r="O27" s="6">
        <v>0.14506085054203899</v>
      </c>
      <c r="P27" s="6"/>
      <c r="Q27" s="6">
        <v>36.654604187011699</v>
      </c>
      <c r="R27" s="6"/>
    </row>
    <row r="28" spans="1:18">
      <c r="A28" s="1"/>
      <c r="B28" s="1"/>
      <c r="C28" s="2" t="s">
        <v>1</v>
      </c>
      <c r="D28" s="2"/>
      <c r="E28" s="2" t="s">
        <v>3</v>
      </c>
      <c r="F28" s="2"/>
      <c r="G28" s="3" t="s">
        <v>1</v>
      </c>
      <c r="H28" s="3"/>
      <c r="I28" s="3" t="s">
        <v>3</v>
      </c>
      <c r="J28" s="3"/>
      <c r="K28" s="4" t="s">
        <v>1</v>
      </c>
      <c r="L28" s="4"/>
      <c r="M28" s="4" t="s">
        <v>3</v>
      </c>
      <c r="N28" s="4"/>
      <c r="O28" s="5" t="s">
        <v>1</v>
      </c>
      <c r="P28" s="5"/>
      <c r="Q28" s="5" t="s">
        <v>3</v>
      </c>
      <c r="R28" s="5"/>
    </row>
    <row r="29" spans="1:18">
      <c r="A29" s="1"/>
      <c r="B29" s="1"/>
      <c r="C29" s="6">
        <v>8.4444792974740293E-2</v>
      </c>
      <c r="D29" s="6"/>
      <c r="E29" s="6">
        <v>0.96263447701931004</v>
      </c>
      <c r="F29" s="6"/>
      <c r="G29" s="6">
        <v>0.14776971360792701</v>
      </c>
      <c r="H29" s="6"/>
      <c r="I29" s="6">
        <v>0.97326231261094398</v>
      </c>
      <c r="J29" s="6"/>
      <c r="K29" s="6">
        <v>0.26642544291085701</v>
      </c>
      <c r="L29" s="6"/>
      <c r="M29" s="6">
        <v>0.98145588854948695</v>
      </c>
      <c r="N29" s="6"/>
      <c r="O29" s="6">
        <v>0.40686764203839798</v>
      </c>
      <c r="P29" s="6"/>
      <c r="Q29" s="6">
        <v>0.98721324165662105</v>
      </c>
      <c r="R29" s="6"/>
    </row>
    <row r="30" spans="1:18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>
      <c r="A31" s="1" t="s">
        <v>9</v>
      </c>
      <c r="B31" s="1"/>
      <c r="C31" s="2" t="s">
        <v>1</v>
      </c>
      <c r="D31" s="2"/>
      <c r="E31" s="2" t="s">
        <v>2</v>
      </c>
      <c r="F31" s="2"/>
      <c r="G31" s="3" t="s">
        <v>1</v>
      </c>
      <c r="H31" s="3"/>
      <c r="I31" s="3" t="s">
        <v>2</v>
      </c>
      <c r="J31" s="3"/>
      <c r="K31" s="4" t="s">
        <v>1</v>
      </c>
      <c r="L31" s="4"/>
      <c r="M31" s="4" t="s">
        <v>2</v>
      </c>
      <c r="N31" s="4"/>
      <c r="O31" s="5" t="s">
        <v>1</v>
      </c>
      <c r="P31" s="5"/>
      <c r="Q31" s="5" t="s">
        <v>2</v>
      </c>
      <c r="R31" s="5"/>
    </row>
    <row r="32" spans="1:18">
      <c r="A32" s="1"/>
      <c r="B32" s="1"/>
      <c r="C32" s="6">
        <v>4.54842910445813E-2</v>
      </c>
      <c r="D32" s="6"/>
      <c r="E32" s="6">
        <v>33.625503959655802</v>
      </c>
      <c r="F32" s="6"/>
      <c r="G32" s="6">
        <v>6.8091702267941506E-2</v>
      </c>
      <c r="H32" s="6"/>
      <c r="I32" s="6">
        <v>35.260054143269898</v>
      </c>
      <c r="J32" s="6"/>
      <c r="K32" s="6">
        <v>0.101015817931543</v>
      </c>
      <c r="L32" s="6"/>
      <c r="M32" s="6">
        <v>36.933704980214401</v>
      </c>
      <c r="N32" s="6"/>
      <c r="O32" s="6">
        <v>0.147430739353928</v>
      </c>
      <c r="P32" s="6"/>
      <c r="Q32" s="6">
        <v>38.424466323852499</v>
      </c>
      <c r="R32" s="6"/>
    </row>
    <row r="33" spans="1:18">
      <c r="A33" s="1"/>
      <c r="B33" s="1"/>
      <c r="C33" s="2" t="s">
        <v>1</v>
      </c>
      <c r="D33" s="2"/>
      <c r="E33" s="2" t="s">
        <v>3</v>
      </c>
      <c r="F33" s="2"/>
      <c r="G33" s="3" t="s">
        <v>1</v>
      </c>
      <c r="H33" s="3"/>
      <c r="I33" s="3" t="s">
        <v>3</v>
      </c>
      <c r="J33" s="3"/>
      <c r="K33" s="4" t="s">
        <v>1</v>
      </c>
      <c r="L33" s="4"/>
      <c r="M33" s="4" t="s">
        <v>3</v>
      </c>
      <c r="N33" s="4"/>
      <c r="O33" s="5" t="s">
        <v>1</v>
      </c>
      <c r="P33" s="5"/>
      <c r="Q33" s="5" t="s">
        <v>3</v>
      </c>
      <c r="R33" s="5"/>
    </row>
    <row r="34" spans="1:18">
      <c r="A34" s="1"/>
      <c r="B34" s="1"/>
      <c r="C34" s="6">
        <v>7.1271302105238105E-2</v>
      </c>
      <c r="D34" s="6"/>
      <c r="E34" s="6">
        <v>0.97522127479314802</v>
      </c>
      <c r="F34" s="6"/>
      <c r="G34" s="6">
        <v>0.107272405895922</v>
      </c>
      <c r="H34" s="6"/>
      <c r="I34" s="6">
        <v>0.98187344104051599</v>
      </c>
      <c r="J34" s="6"/>
      <c r="K34" s="6">
        <v>0.16982854856219601</v>
      </c>
      <c r="L34" s="6"/>
      <c r="M34" s="6">
        <v>0.98686361392339095</v>
      </c>
      <c r="N34" s="6"/>
      <c r="O34" s="6">
        <v>0.25694275509814402</v>
      </c>
      <c r="P34" s="6"/>
      <c r="Q34" s="6">
        <v>0.98998290240764597</v>
      </c>
      <c r="R34" s="6"/>
    </row>
    <row r="35" spans="1:1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>
      <c r="A36" s="1" t="s">
        <v>10</v>
      </c>
      <c r="B36" s="1"/>
      <c r="C36" s="2" t="s">
        <v>1</v>
      </c>
      <c r="D36" s="2"/>
      <c r="E36" s="2" t="s">
        <v>2</v>
      </c>
      <c r="F36" s="2"/>
      <c r="G36" s="3" t="s">
        <v>1</v>
      </c>
      <c r="H36" s="3"/>
      <c r="I36" s="3" t="s">
        <v>2</v>
      </c>
      <c r="J36" s="3"/>
      <c r="K36" s="4" t="s">
        <v>1</v>
      </c>
      <c r="L36" s="4"/>
      <c r="M36" s="4" t="s">
        <v>2</v>
      </c>
      <c r="N36" s="4"/>
      <c r="O36" s="5" t="s">
        <v>1</v>
      </c>
      <c r="P36" s="5"/>
      <c r="Q36" s="5" t="s">
        <v>2</v>
      </c>
      <c r="R36" s="5"/>
    </row>
    <row r="37" spans="1:18">
      <c r="A37" s="1"/>
      <c r="B37" s="1"/>
      <c r="C37" s="6">
        <f>AVERAGE(C2, C7, C12,C17,C22,C27,C32)</f>
        <v>2.7762524592704958E-2</v>
      </c>
      <c r="D37" s="6"/>
      <c r="E37" s="6">
        <f>AVERAGE(,E2,E7,E12,E17,E22,E27,E32)</f>
        <v>29.921914308865865</v>
      </c>
      <c r="F37" s="6"/>
      <c r="G37" s="6">
        <f>AVERAGE(G2,G7,G12,G17,G22,G27,G32)</f>
        <v>4.0946358813793368E-2</v>
      </c>
      <c r="H37" s="6"/>
      <c r="I37" s="6">
        <f>AVERAGE(I2,I7,I12,I17,I22,I27,I32)</f>
        <v>35.381707365853451</v>
      </c>
      <c r="J37" s="6"/>
      <c r="K37" s="6">
        <f>AVERAGE(K2,K7,K12,K17,K22,K27,K32)</f>
        <v>6.2225415025941255E-2</v>
      </c>
      <c r="L37" s="6"/>
      <c r="M37" s="6">
        <f>AVERAGE(M2,M7,M12,M17,M22,M27,M32)</f>
        <v>36.504550605955551</v>
      </c>
      <c r="N37" s="6"/>
      <c r="O37" s="6">
        <f>AVERAGE(O2,O7,O12,O17,O22,O27,O32)</f>
        <v>0.10144778074995273</v>
      </c>
      <c r="P37" s="6"/>
      <c r="Q37" s="6">
        <f>AVERAGE(Q2,Q7,Q12,Q17,Q22,Q27,Q32)</f>
        <v>37.564914455413813</v>
      </c>
      <c r="R37" s="6"/>
    </row>
    <row r="38" spans="1:18">
      <c r="A38" s="1"/>
      <c r="B38" s="1"/>
      <c r="C38" s="2" t="s">
        <v>1</v>
      </c>
      <c r="D38" s="2"/>
      <c r="E38" s="2" t="s">
        <v>3</v>
      </c>
      <c r="F38" s="2"/>
      <c r="G38" s="3" t="s">
        <v>1</v>
      </c>
      <c r="H38" s="3"/>
      <c r="I38" s="3" t="s">
        <v>3</v>
      </c>
      <c r="J38" s="3"/>
      <c r="K38" s="4" t="s">
        <v>1</v>
      </c>
      <c r="L38" s="4"/>
      <c r="M38" s="4" t="s">
        <v>3</v>
      </c>
      <c r="N38" s="4"/>
      <c r="O38" s="5" t="s">
        <v>1</v>
      </c>
      <c r="P38" s="5"/>
      <c r="Q38" s="5" t="s">
        <v>3</v>
      </c>
      <c r="R38" s="5"/>
    </row>
    <row r="39" spans="1:18">
      <c r="A39" s="1"/>
      <c r="B39" s="1"/>
      <c r="C39" s="6">
        <f>AVERAGE(C4,C9,C14,C19,C24,C29,C34)</f>
        <v>6.3483478197783591E-2</v>
      </c>
      <c r="D39" s="6"/>
      <c r="E39" s="6">
        <f>AVERAGE(E4,E9,E14,E19,E24,E29,E34)</f>
        <v>0.96436466103508356</v>
      </c>
      <c r="F39" s="6"/>
      <c r="G39" s="6">
        <f>AVERAGE(G4,G9,G14,G19,G24,G29,G34)</f>
        <v>0.11565677193262511</v>
      </c>
      <c r="H39" s="6"/>
      <c r="I39" s="6">
        <f>AVERAGE(I4,I9,I14,I19,I24,I29,I34)</f>
        <v>0.9734153836255981</v>
      </c>
      <c r="J39" s="6"/>
      <c r="K39" s="6">
        <f>AVERAGE(K4,K9,K14,K19,K24,K29,K34)</f>
        <v>0.21194249496549852</v>
      </c>
      <c r="L39" s="6"/>
      <c r="M39" s="6">
        <f>AVERAGE(M4,M9,M14,M19,M24,M29,M34)</f>
        <v>0.98056990227528984</v>
      </c>
      <c r="N39" s="6"/>
      <c r="O39" s="6">
        <f>AVERAGE(O4,O9,O14,O19,O24,O29,O34)</f>
        <v>0.33663457336016572</v>
      </c>
      <c r="P39" s="6"/>
      <c r="Q39" s="6">
        <f>AVERAGE(Q4,Q9,Q14,Q19,Q24,Q29,Q34)</f>
        <v>0.98588579170760648</v>
      </c>
      <c r="R39" s="6"/>
    </row>
  </sheetData>
  <mergeCells count="264">
    <mergeCell ref="O39:P39"/>
    <mergeCell ref="Q39:R39"/>
    <mergeCell ref="C39:D39"/>
    <mergeCell ref="E39:F39"/>
    <mergeCell ref="G39:H39"/>
    <mergeCell ref="I39:J39"/>
    <mergeCell ref="K39:L39"/>
    <mergeCell ref="M39:N39"/>
    <mergeCell ref="Q37:R37"/>
    <mergeCell ref="C38:D38"/>
    <mergeCell ref="E38:F38"/>
    <mergeCell ref="G38:H38"/>
    <mergeCell ref="I38:J38"/>
    <mergeCell ref="K38:L38"/>
    <mergeCell ref="M38:N38"/>
    <mergeCell ref="O38:P38"/>
    <mergeCell ref="Q38:R38"/>
    <mergeCell ref="M36:N36"/>
    <mergeCell ref="O36:P36"/>
    <mergeCell ref="Q36:R36"/>
    <mergeCell ref="C37:D37"/>
    <mergeCell ref="E37:F37"/>
    <mergeCell ref="G37:H37"/>
    <mergeCell ref="I37:J37"/>
    <mergeCell ref="K37:L37"/>
    <mergeCell ref="M37:N37"/>
    <mergeCell ref="O37:P37"/>
    <mergeCell ref="K34:L34"/>
    <mergeCell ref="M34:N34"/>
    <mergeCell ref="O34:P34"/>
    <mergeCell ref="Q34:R34"/>
    <mergeCell ref="A36:B39"/>
    <mergeCell ref="C36:D36"/>
    <mergeCell ref="E36:F36"/>
    <mergeCell ref="G36:H36"/>
    <mergeCell ref="I36:J36"/>
    <mergeCell ref="K36:L36"/>
    <mergeCell ref="Q32:R32"/>
    <mergeCell ref="C33:D33"/>
    <mergeCell ref="E33:F33"/>
    <mergeCell ref="G33:H33"/>
    <mergeCell ref="I33:J33"/>
    <mergeCell ref="K33:L33"/>
    <mergeCell ref="M33:N33"/>
    <mergeCell ref="O33:P33"/>
    <mergeCell ref="Q33:R33"/>
    <mergeCell ref="M31:N31"/>
    <mergeCell ref="O31:P31"/>
    <mergeCell ref="Q31:R31"/>
    <mergeCell ref="C32:D32"/>
    <mergeCell ref="E32:F32"/>
    <mergeCell ref="G32:H32"/>
    <mergeCell ref="I32:J32"/>
    <mergeCell ref="K32:L32"/>
    <mergeCell ref="M32:N32"/>
    <mergeCell ref="O32:P32"/>
    <mergeCell ref="A31:B34"/>
    <mergeCell ref="C31:D31"/>
    <mergeCell ref="E31:F31"/>
    <mergeCell ref="G31:H31"/>
    <mergeCell ref="I31:J31"/>
    <mergeCell ref="K31:L31"/>
    <mergeCell ref="C34:D34"/>
    <mergeCell ref="E34:F34"/>
    <mergeCell ref="G34:H34"/>
    <mergeCell ref="I34:J34"/>
    <mergeCell ref="O28:P28"/>
    <mergeCell ref="Q28:R28"/>
    <mergeCell ref="C29:D29"/>
    <mergeCell ref="E29:F29"/>
    <mergeCell ref="G29:H29"/>
    <mergeCell ref="I29:J29"/>
    <mergeCell ref="K29:L29"/>
    <mergeCell ref="M29:N29"/>
    <mergeCell ref="O29:P29"/>
    <mergeCell ref="Q29:R29"/>
    <mergeCell ref="C28:D28"/>
    <mergeCell ref="E28:F28"/>
    <mergeCell ref="G28:H28"/>
    <mergeCell ref="I28:J28"/>
    <mergeCell ref="K28:L28"/>
    <mergeCell ref="M28:N28"/>
    <mergeCell ref="Q26:R26"/>
    <mergeCell ref="C27:D27"/>
    <mergeCell ref="E27:F27"/>
    <mergeCell ref="G27:H27"/>
    <mergeCell ref="I27:J27"/>
    <mergeCell ref="K27:L27"/>
    <mergeCell ref="M27:N27"/>
    <mergeCell ref="O27:P27"/>
    <mergeCell ref="Q27:R27"/>
    <mergeCell ref="O24:P24"/>
    <mergeCell ref="Q24:R24"/>
    <mergeCell ref="A26:B29"/>
    <mergeCell ref="C26:D26"/>
    <mergeCell ref="E26:F26"/>
    <mergeCell ref="G26:H26"/>
    <mergeCell ref="I26:J26"/>
    <mergeCell ref="K26:L26"/>
    <mergeCell ref="M26:N26"/>
    <mergeCell ref="O26:P26"/>
    <mergeCell ref="C24:D24"/>
    <mergeCell ref="E24:F24"/>
    <mergeCell ref="G24:H24"/>
    <mergeCell ref="I24:J24"/>
    <mergeCell ref="K24:L24"/>
    <mergeCell ref="M24:N24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K19:L19"/>
    <mergeCell ref="M19:N19"/>
    <mergeCell ref="O19:P19"/>
    <mergeCell ref="Q19:R19"/>
    <mergeCell ref="A21:B24"/>
    <mergeCell ref="C21:D21"/>
    <mergeCell ref="E21:F21"/>
    <mergeCell ref="G21:H21"/>
    <mergeCell ref="I21:J21"/>
    <mergeCell ref="K21:L21"/>
    <mergeCell ref="Q17:R17"/>
    <mergeCell ref="C18:D18"/>
    <mergeCell ref="E18:F18"/>
    <mergeCell ref="G18:H18"/>
    <mergeCell ref="I18:J18"/>
    <mergeCell ref="K18:L18"/>
    <mergeCell ref="M18:N18"/>
    <mergeCell ref="O18:P18"/>
    <mergeCell ref="Q18:R18"/>
    <mergeCell ref="M16:N16"/>
    <mergeCell ref="O16:P16"/>
    <mergeCell ref="Q16:R16"/>
    <mergeCell ref="C17:D17"/>
    <mergeCell ref="E17:F17"/>
    <mergeCell ref="G17:H17"/>
    <mergeCell ref="I17:J17"/>
    <mergeCell ref="K17:L17"/>
    <mergeCell ref="M17:N17"/>
    <mergeCell ref="O17:P17"/>
    <mergeCell ref="A16:B19"/>
    <mergeCell ref="C16:D16"/>
    <mergeCell ref="E16:F16"/>
    <mergeCell ref="G16:H16"/>
    <mergeCell ref="I16:J16"/>
    <mergeCell ref="K16:L16"/>
    <mergeCell ref="C19:D19"/>
    <mergeCell ref="E19:F19"/>
    <mergeCell ref="G19:H19"/>
    <mergeCell ref="I19:J19"/>
    <mergeCell ref="O13:P13"/>
    <mergeCell ref="Q13:R13"/>
    <mergeCell ref="C14:D14"/>
    <mergeCell ref="E14:F14"/>
    <mergeCell ref="G14:H14"/>
    <mergeCell ref="I14:J14"/>
    <mergeCell ref="K14:L14"/>
    <mergeCell ref="M14:N14"/>
    <mergeCell ref="O14:P14"/>
    <mergeCell ref="Q14:R14"/>
    <mergeCell ref="C13:D13"/>
    <mergeCell ref="E13:F13"/>
    <mergeCell ref="G13:H13"/>
    <mergeCell ref="I13:J13"/>
    <mergeCell ref="K13:L13"/>
    <mergeCell ref="M13:N13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O9:P9"/>
    <mergeCell ref="Q9:R9"/>
    <mergeCell ref="A11:B14"/>
    <mergeCell ref="C11:D11"/>
    <mergeCell ref="E11:F11"/>
    <mergeCell ref="G11:H11"/>
    <mergeCell ref="I11:J11"/>
    <mergeCell ref="K11:L11"/>
    <mergeCell ref="M11:N11"/>
    <mergeCell ref="O11:P11"/>
    <mergeCell ref="C9:D9"/>
    <mergeCell ref="E9:F9"/>
    <mergeCell ref="G9:H9"/>
    <mergeCell ref="I9:J9"/>
    <mergeCell ref="K9:L9"/>
    <mergeCell ref="M9:N9"/>
    <mergeCell ref="Q7:R7"/>
    <mergeCell ref="C8:D8"/>
    <mergeCell ref="E8:F8"/>
    <mergeCell ref="G8:H8"/>
    <mergeCell ref="I8:J8"/>
    <mergeCell ref="K8:L8"/>
    <mergeCell ref="M8:N8"/>
    <mergeCell ref="O8:P8"/>
    <mergeCell ref="Q8:R8"/>
    <mergeCell ref="M6:N6"/>
    <mergeCell ref="O6:P6"/>
    <mergeCell ref="Q6:R6"/>
    <mergeCell ref="C7:D7"/>
    <mergeCell ref="E7:F7"/>
    <mergeCell ref="G7:H7"/>
    <mergeCell ref="I7:J7"/>
    <mergeCell ref="K7:L7"/>
    <mergeCell ref="M7:N7"/>
    <mergeCell ref="O7:P7"/>
    <mergeCell ref="K4:L4"/>
    <mergeCell ref="M4:N4"/>
    <mergeCell ref="O4:P4"/>
    <mergeCell ref="Q4:R4"/>
    <mergeCell ref="A6:B9"/>
    <mergeCell ref="C6:D6"/>
    <mergeCell ref="E6:F6"/>
    <mergeCell ref="G6:H6"/>
    <mergeCell ref="I6:J6"/>
    <mergeCell ref="K6:L6"/>
    <mergeCell ref="Q2:R2"/>
    <mergeCell ref="C3:D3"/>
    <mergeCell ref="E3:F3"/>
    <mergeCell ref="G3:H3"/>
    <mergeCell ref="I3:J3"/>
    <mergeCell ref="K3:L3"/>
    <mergeCell ref="M3:N3"/>
    <mergeCell ref="O3:P3"/>
    <mergeCell ref="Q3:R3"/>
    <mergeCell ref="M1:N1"/>
    <mergeCell ref="O1:P1"/>
    <mergeCell ref="Q1:R1"/>
    <mergeCell ref="C2:D2"/>
    <mergeCell ref="E2:F2"/>
    <mergeCell ref="G2:H2"/>
    <mergeCell ref="I2:J2"/>
    <mergeCell ref="K2:L2"/>
    <mergeCell ref="M2:N2"/>
    <mergeCell ref="O2:P2"/>
    <mergeCell ref="A1:B4"/>
    <mergeCell ref="C1:D1"/>
    <mergeCell ref="E1:F1"/>
    <mergeCell ref="G1:H1"/>
    <mergeCell ref="I1:J1"/>
    <mergeCell ref="K1:L1"/>
    <mergeCell ref="C4:D4"/>
    <mergeCell ref="E4:F4"/>
    <mergeCell ref="G4:H4"/>
    <mergeCell ref="I4:J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9"/>
  <sheetViews>
    <sheetView workbookViewId="0">
      <selection sqref="A1:BF39"/>
    </sheetView>
  </sheetViews>
  <sheetFormatPr defaultRowHeight="16.5"/>
  <sheetData>
    <row r="1" spans="1:58">
      <c r="A1" s="1" t="s">
        <v>0</v>
      </c>
      <c r="B1" s="1"/>
      <c r="C1" s="2" t="s">
        <v>1</v>
      </c>
      <c r="D1" s="2"/>
      <c r="E1" s="2" t="s">
        <v>2</v>
      </c>
      <c r="F1" s="2"/>
      <c r="G1" s="3" t="s">
        <v>1</v>
      </c>
      <c r="H1" s="3"/>
      <c r="I1" s="3" t="s">
        <v>2</v>
      </c>
      <c r="J1" s="3"/>
      <c r="K1" s="4" t="s">
        <v>1</v>
      </c>
      <c r="L1" s="4"/>
      <c r="M1" s="4" t="s">
        <v>2</v>
      </c>
      <c r="N1" s="4"/>
      <c r="O1" s="5" t="s">
        <v>1</v>
      </c>
      <c r="P1" s="5"/>
      <c r="Q1" s="5" t="s">
        <v>2</v>
      </c>
      <c r="R1" s="5"/>
      <c r="S1" s="2" t="s">
        <v>1</v>
      </c>
      <c r="T1" s="2"/>
      <c r="U1" s="2" t="s">
        <v>2</v>
      </c>
      <c r="V1" s="2"/>
      <c r="W1" s="3" t="s">
        <v>1</v>
      </c>
      <c r="X1" s="3"/>
      <c r="Y1" s="3" t="s">
        <v>2</v>
      </c>
      <c r="Z1" s="3"/>
      <c r="AA1" s="4" t="s">
        <v>1</v>
      </c>
      <c r="AB1" s="4"/>
      <c r="AC1" s="4" t="s">
        <v>2</v>
      </c>
      <c r="AD1" s="4"/>
      <c r="AE1" s="5" t="s">
        <v>1</v>
      </c>
      <c r="AF1" s="5"/>
      <c r="AG1" s="5" t="s">
        <v>2</v>
      </c>
      <c r="AH1" s="5"/>
      <c r="AI1" s="2" t="s">
        <v>1</v>
      </c>
      <c r="AJ1" s="2"/>
      <c r="AK1" s="2" t="s">
        <v>2</v>
      </c>
      <c r="AL1" s="2"/>
      <c r="AM1" s="3" t="s">
        <v>1</v>
      </c>
      <c r="AN1" s="3"/>
      <c r="AO1" s="3" t="s">
        <v>2</v>
      </c>
      <c r="AP1" s="3"/>
      <c r="AQ1" s="4" t="s">
        <v>1</v>
      </c>
      <c r="AR1" s="4"/>
      <c r="AS1" s="4" t="s">
        <v>2</v>
      </c>
      <c r="AT1" s="4"/>
      <c r="AU1" s="5" t="s">
        <v>1</v>
      </c>
      <c r="AV1" s="5"/>
      <c r="AW1" s="5" t="s">
        <v>2</v>
      </c>
      <c r="AX1" s="5"/>
      <c r="AY1" s="2" t="s">
        <v>1</v>
      </c>
      <c r="AZ1" s="2"/>
      <c r="BA1" s="2" t="s">
        <v>2</v>
      </c>
      <c r="BB1" s="2"/>
      <c r="BC1" s="3" t="s">
        <v>1</v>
      </c>
      <c r="BD1" s="3"/>
      <c r="BE1" s="3" t="s">
        <v>2</v>
      </c>
      <c r="BF1" s="3"/>
    </row>
    <row r="2" spans="1:58">
      <c r="A2" s="1"/>
      <c r="B2" s="1"/>
      <c r="C2" s="6">
        <v>1.1953999999999999E-2</v>
      </c>
      <c r="D2" s="6"/>
      <c r="E2" s="6">
        <v>33.92266</v>
      </c>
      <c r="F2" s="6"/>
      <c r="G2" s="6">
        <v>1.2784999999999999E-2</v>
      </c>
      <c r="H2" s="6"/>
      <c r="I2" s="6">
        <v>33.965569000000002</v>
      </c>
      <c r="J2" s="6"/>
      <c r="K2" s="6">
        <v>1.3729E-2</v>
      </c>
      <c r="L2" s="6"/>
      <c r="M2" s="6">
        <v>34.007060000000003</v>
      </c>
      <c r="N2" s="6"/>
      <c r="O2" s="6">
        <v>1.4817E-2</v>
      </c>
      <c r="P2" s="6"/>
      <c r="Q2" s="6">
        <v>34.047431000000003</v>
      </c>
      <c r="R2" s="6"/>
      <c r="S2" s="6">
        <v>1.6018000000000001E-2</v>
      </c>
      <c r="T2" s="6"/>
      <c r="U2" s="6">
        <v>34.086387000000002</v>
      </c>
      <c r="V2" s="6"/>
      <c r="W2" s="6">
        <v>1.7311E-2</v>
      </c>
      <c r="X2" s="6"/>
      <c r="Y2" s="6">
        <v>34.123981999999998</v>
      </c>
      <c r="Z2" s="6"/>
      <c r="AA2" s="6">
        <v>1.8773000000000001E-2</v>
      </c>
      <c r="AB2" s="6"/>
      <c r="AC2" s="6">
        <v>34.160015999999999</v>
      </c>
      <c r="AD2" s="6"/>
      <c r="AE2" s="6">
        <v>2.0435999999999999E-2</v>
      </c>
      <c r="AF2" s="6"/>
      <c r="AG2" s="6">
        <v>34.195044000000003</v>
      </c>
      <c r="AH2" s="6"/>
      <c r="AI2" s="6">
        <v>2.2360999999999999E-2</v>
      </c>
      <c r="AJ2" s="6"/>
      <c r="AK2" s="6">
        <v>34.230082000000003</v>
      </c>
      <c r="AL2" s="6"/>
      <c r="AM2" s="6">
        <v>2.462E-2</v>
      </c>
      <c r="AN2" s="6"/>
      <c r="AO2" s="6">
        <v>34.265486000000003</v>
      </c>
      <c r="AP2" s="6"/>
      <c r="AQ2" s="6">
        <v>2.7248999999999999E-2</v>
      </c>
      <c r="AR2" s="6"/>
      <c r="AS2" s="6">
        <v>34.302402999999998</v>
      </c>
      <c r="AT2" s="6"/>
      <c r="AU2" s="6">
        <v>3.0251E-2</v>
      </c>
      <c r="AV2" s="6"/>
      <c r="AW2" s="6">
        <v>34.339658999999997</v>
      </c>
      <c r="AX2" s="6"/>
      <c r="AY2" s="6">
        <v>3.3946999999999998E-2</v>
      </c>
      <c r="AZ2" s="6"/>
      <c r="BA2" s="6">
        <v>34.380367</v>
      </c>
      <c r="BB2" s="6"/>
      <c r="BC2" s="6">
        <v>3.8876000000000001E-2</v>
      </c>
      <c r="BD2" s="6"/>
      <c r="BE2" s="6">
        <v>34.428716999999999</v>
      </c>
      <c r="BF2" s="6"/>
    </row>
    <row r="3" spans="1:58">
      <c r="A3" s="1"/>
      <c r="B3" s="1"/>
      <c r="C3" s="2" t="s">
        <v>1</v>
      </c>
      <c r="D3" s="2"/>
      <c r="E3" s="2" t="s">
        <v>3</v>
      </c>
      <c r="F3" s="2"/>
      <c r="G3" s="3" t="s">
        <v>1</v>
      </c>
      <c r="H3" s="3"/>
      <c r="I3" s="3" t="s">
        <v>3</v>
      </c>
      <c r="J3" s="3"/>
      <c r="K3" s="4" t="s">
        <v>1</v>
      </c>
      <c r="L3" s="4"/>
      <c r="M3" s="4" t="s">
        <v>3</v>
      </c>
      <c r="N3" s="4"/>
      <c r="O3" s="5" t="s">
        <v>1</v>
      </c>
      <c r="P3" s="5"/>
      <c r="Q3" s="5" t="s">
        <v>3</v>
      </c>
      <c r="R3" s="5"/>
      <c r="S3" s="2" t="s">
        <v>1</v>
      </c>
      <c r="T3" s="2"/>
      <c r="U3" s="2" t="s">
        <v>3</v>
      </c>
      <c r="V3" s="2"/>
      <c r="W3" s="3" t="s">
        <v>1</v>
      </c>
      <c r="X3" s="3"/>
      <c r="Y3" s="3" t="s">
        <v>3</v>
      </c>
      <c r="Z3" s="3"/>
      <c r="AA3" s="4" t="s">
        <v>1</v>
      </c>
      <c r="AB3" s="4"/>
      <c r="AC3" s="4" t="s">
        <v>3</v>
      </c>
      <c r="AD3" s="4"/>
      <c r="AE3" s="5" t="s">
        <v>1</v>
      </c>
      <c r="AF3" s="5"/>
      <c r="AG3" s="5" t="s">
        <v>3</v>
      </c>
      <c r="AH3" s="5"/>
      <c r="AI3" s="2" t="s">
        <v>1</v>
      </c>
      <c r="AJ3" s="2"/>
      <c r="AK3" s="2" t="s">
        <v>3</v>
      </c>
      <c r="AL3" s="2"/>
      <c r="AM3" s="3" t="s">
        <v>1</v>
      </c>
      <c r="AN3" s="3"/>
      <c r="AO3" s="3" t="s">
        <v>3</v>
      </c>
      <c r="AP3" s="3"/>
      <c r="AQ3" s="4" t="s">
        <v>1</v>
      </c>
      <c r="AR3" s="4"/>
      <c r="AS3" s="4" t="s">
        <v>3</v>
      </c>
      <c r="AT3" s="4"/>
      <c r="AU3" s="5" t="s">
        <v>1</v>
      </c>
      <c r="AV3" s="5"/>
      <c r="AW3" s="5" t="s">
        <v>3</v>
      </c>
      <c r="AX3" s="5"/>
      <c r="AY3" s="2" t="s">
        <v>1</v>
      </c>
      <c r="AZ3" s="2"/>
      <c r="BA3" s="2" t="s">
        <v>3</v>
      </c>
      <c r="BB3" s="2"/>
      <c r="BC3" s="3" t="s">
        <v>1</v>
      </c>
      <c r="BD3" s="3"/>
      <c r="BE3" s="3" t="s">
        <v>3</v>
      </c>
      <c r="BF3" s="3"/>
    </row>
    <row r="4" spans="1:58">
      <c r="A4" s="1"/>
      <c r="B4" s="1"/>
      <c r="C4" s="8"/>
      <c r="D4" s="8"/>
      <c r="E4" s="6">
        <v>0.90051199999999998</v>
      </c>
      <c r="F4" s="6"/>
      <c r="G4" s="8"/>
      <c r="H4" s="8"/>
      <c r="I4" s="6">
        <v>0.90115199999999995</v>
      </c>
      <c r="J4" s="6"/>
      <c r="K4" s="8"/>
      <c r="L4" s="8"/>
      <c r="M4" s="6">
        <v>0.90177399999999996</v>
      </c>
      <c r="N4" s="6"/>
      <c r="O4" s="8"/>
      <c r="P4" s="8"/>
      <c r="Q4" s="6">
        <v>0.902397</v>
      </c>
      <c r="R4" s="6"/>
      <c r="S4" s="8"/>
      <c r="T4" s="8"/>
      <c r="U4" s="6">
        <v>0.90303</v>
      </c>
      <c r="V4" s="6"/>
      <c r="W4" s="9"/>
      <c r="X4" s="9"/>
      <c r="Y4" s="6">
        <v>0.90364900000000004</v>
      </c>
      <c r="Z4" s="6"/>
      <c r="AA4" s="9"/>
      <c r="AB4" s="9"/>
      <c r="AC4" s="6">
        <v>0.904254</v>
      </c>
      <c r="AD4" s="6"/>
      <c r="AE4" s="9"/>
      <c r="AF4" s="9"/>
      <c r="AG4" s="6">
        <v>0.90485499999999996</v>
      </c>
      <c r="AH4" s="6"/>
      <c r="AI4" s="8"/>
      <c r="AJ4" s="8"/>
      <c r="AK4" s="6">
        <v>0.905497</v>
      </c>
      <c r="AL4" s="6"/>
      <c r="AM4" s="8"/>
      <c r="AN4" s="8"/>
      <c r="AO4" s="6">
        <v>0.90614899999999998</v>
      </c>
      <c r="AP4" s="6"/>
      <c r="AQ4" s="8"/>
      <c r="AR4" s="8"/>
      <c r="AS4" s="6">
        <v>0.90684200000000004</v>
      </c>
      <c r="AT4" s="6"/>
      <c r="AU4" s="8"/>
      <c r="AV4" s="8"/>
      <c r="AW4" s="6">
        <v>0.90756899999999996</v>
      </c>
      <c r="AX4" s="6"/>
      <c r="AY4" s="8"/>
      <c r="AZ4" s="8"/>
      <c r="BA4" s="6">
        <v>0.908416</v>
      </c>
      <c r="BB4" s="6"/>
      <c r="BC4" s="8"/>
      <c r="BD4" s="8"/>
      <c r="BE4" s="6">
        <v>0.90957299999999996</v>
      </c>
      <c r="BF4" s="6"/>
    </row>
    <row r="5" spans="1:58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>
      <c r="A6" s="1" t="s">
        <v>4</v>
      </c>
      <c r="B6" s="1"/>
      <c r="C6" s="2" t="s">
        <v>1</v>
      </c>
      <c r="D6" s="2"/>
      <c r="E6" s="2" t="s">
        <v>2</v>
      </c>
      <c r="F6" s="2"/>
      <c r="G6" s="3" t="s">
        <v>1</v>
      </c>
      <c r="H6" s="3"/>
      <c r="I6" s="3" t="s">
        <v>2</v>
      </c>
      <c r="J6" s="3"/>
      <c r="K6" s="4" t="s">
        <v>1</v>
      </c>
      <c r="L6" s="4"/>
      <c r="M6" s="4" t="s">
        <v>2</v>
      </c>
      <c r="N6" s="4"/>
      <c r="O6" s="5" t="s">
        <v>1</v>
      </c>
      <c r="P6" s="5"/>
      <c r="Q6" s="5" t="s">
        <v>2</v>
      </c>
      <c r="R6" s="5"/>
      <c r="S6" s="2" t="s">
        <v>1</v>
      </c>
      <c r="T6" s="2"/>
      <c r="U6" s="2" t="s">
        <v>2</v>
      </c>
      <c r="V6" s="2"/>
      <c r="W6" s="3" t="s">
        <v>1</v>
      </c>
      <c r="X6" s="3"/>
      <c r="Y6" s="3" t="s">
        <v>2</v>
      </c>
      <c r="Z6" s="3"/>
      <c r="AA6" s="4" t="s">
        <v>1</v>
      </c>
      <c r="AB6" s="4"/>
      <c r="AC6" s="4" t="s">
        <v>2</v>
      </c>
      <c r="AD6" s="4"/>
      <c r="AE6" s="5" t="s">
        <v>1</v>
      </c>
      <c r="AF6" s="5"/>
      <c r="AG6" s="5" t="s">
        <v>2</v>
      </c>
      <c r="AH6" s="5"/>
      <c r="AI6" s="2" t="s">
        <v>1</v>
      </c>
      <c r="AJ6" s="2"/>
      <c r="AK6" s="2" t="s">
        <v>2</v>
      </c>
      <c r="AL6" s="2"/>
      <c r="AM6" s="3" t="s">
        <v>1</v>
      </c>
      <c r="AN6" s="3"/>
      <c r="AO6" s="3" t="s">
        <v>2</v>
      </c>
      <c r="AP6" s="3"/>
      <c r="AQ6" s="4" t="s">
        <v>1</v>
      </c>
      <c r="AR6" s="4"/>
      <c r="AS6" s="4" t="s">
        <v>2</v>
      </c>
      <c r="AT6" s="4"/>
      <c r="AU6" s="5" t="s">
        <v>1</v>
      </c>
      <c r="AV6" s="5"/>
      <c r="AW6" s="5" t="s">
        <v>2</v>
      </c>
      <c r="AX6" s="5"/>
      <c r="AY6" s="2" t="s">
        <v>1</v>
      </c>
      <c r="AZ6" s="2"/>
      <c r="BA6" s="2" t="s">
        <v>2</v>
      </c>
      <c r="BB6" s="2"/>
      <c r="BC6" s="3" t="s">
        <v>1</v>
      </c>
      <c r="BD6" s="3"/>
      <c r="BE6" s="3" t="s">
        <v>2</v>
      </c>
      <c r="BF6" s="3"/>
    </row>
    <row r="7" spans="1:58">
      <c r="A7" s="1"/>
      <c r="B7" s="1"/>
      <c r="C7" s="6">
        <v>1.5481E-2</v>
      </c>
      <c r="D7" s="6"/>
      <c r="E7" s="6">
        <v>37.280670000000001</v>
      </c>
      <c r="F7" s="6"/>
      <c r="G7" s="6">
        <v>1.6729999999999998E-2</v>
      </c>
      <c r="H7" s="6"/>
      <c r="I7" s="6">
        <v>37.518859999999997</v>
      </c>
      <c r="J7" s="6"/>
      <c r="K7" s="6">
        <v>1.8093999999999999E-2</v>
      </c>
      <c r="L7" s="6"/>
      <c r="M7" s="6">
        <v>37.756171000000002</v>
      </c>
      <c r="N7" s="6"/>
      <c r="O7" s="6">
        <v>1.9567999999999999E-2</v>
      </c>
      <c r="P7" s="6"/>
      <c r="Q7" s="6">
        <v>37.985216999999999</v>
      </c>
      <c r="R7" s="6"/>
      <c r="S7" s="6">
        <v>2.1152000000000001E-2</v>
      </c>
      <c r="T7" s="6"/>
      <c r="U7" s="6">
        <v>38.215302999999999</v>
      </c>
      <c r="V7" s="6"/>
      <c r="W7" s="6">
        <v>2.2870999999999999E-2</v>
      </c>
      <c r="X7" s="6"/>
      <c r="Y7" s="6">
        <v>38.440576</v>
      </c>
      <c r="Z7" s="6"/>
      <c r="AA7" s="6">
        <v>2.4702999999999999E-2</v>
      </c>
      <c r="AB7" s="6"/>
      <c r="AC7" s="6">
        <v>38.661456000000001</v>
      </c>
      <c r="AD7" s="6"/>
      <c r="AE7" s="6">
        <v>2.6719E-2</v>
      </c>
      <c r="AF7" s="6"/>
      <c r="AG7" s="6">
        <v>38.875261000000002</v>
      </c>
      <c r="AH7" s="6"/>
      <c r="AI7" s="6">
        <v>2.8871000000000001E-2</v>
      </c>
      <c r="AJ7" s="6"/>
      <c r="AK7" s="6">
        <v>39.085557999999999</v>
      </c>
      <c r="AL7" s="6"/>
      <c r="AM7" s="6">
        <v>3.1185000000000001E-2</v>
      </c>
      <c r="AN7" s="6"/>
      <c r="AO7" s="6">
        <v>39.292579000000003</v>
      </c>
      <c r="AP7" s="6"/>
      <c r="AQ7" s="6">
        <v>3.3678E-2</v>
      </c>
      <c r="AR7" s="6"/>
      <c r="AS7" s="6">
        <v>39.492975000000001</v>
      </c>
      <c r="AT7" s="6"/>
      <c r="AU7" s="6">
        <v>3.6360999999999997E-2</v>
      </c>
      <c r="AV7" s="6"/>
      <c r="AW7" s="6">
        <v>39.688439000000002</v>
      </c>
      <c r="AX7" s="6"/>
      <c r="AY7" s="6">
        <v>3.9266000000000002E-2</v>
      </c>
      <c r="AZ7" s="6"/>
      <c r="BA7" s="6">
        <v>39.877673000000001</v>
      </c>
      <c r="BB7" s="6"/>
      <c r="BC7" s="6">
        <v>4.2409000000000002E-2</v>
      </c>
      <c r="BD7" s="6"/>
      <c r="BE7" s="6">
        <v>40.064217999999997</v>
      </c>
      <c r="BF7" s="6"/>
    </row>
    <row r="8" spans="1:58">
      <c r="A8" s="1"/>
      <c r="B8" s="1"/>
      <c r="C8" s="2" t="s">
        <v>1</v>
      </c>
      <c r="D8" s="2"/>
      <c r="E8" s="2" t="s">
        <v>3</v>
      </c>
      <c r="F8" s="2"/>
      <c r="G8" s="3" t="s">
        <v>1</v>
      </c>
      <c r="H8" s="3"/>
      <c r="I8" s="3" t="s">
        <v>3</v>
      </c>
      <c r="J8" s="3"/>
      <c r="K8" s="4" t="s">
        <v>1</v>
      </c>
      <c r="L8" s="4"/>
      <c r="M8" s="4" t="s">
        <v>3</v>
      </c>
      <c r="N8" s="4"/>
      <c r="O8" s="5" t="s">
        <v>1</v>
      </c>
      <c r="P8" s="5"/>
      <c r="Q8" s="5" t="s">
        <v>3</v>
      </c>
      <c r="R8" s="5"/>
      <c r="S8" s="2" t="s">
        <v>1</v>
      </c>
      <c r="T8" s="2"/>
      <c r="U8" s="2" t="s">
        <v>3</v>
      </c>
      <c r="V8" s="2"/>
      <c r="W8" s="3" t="s">
        <v>1</v>
      </c>
      <c r="X8" s="3"/>
      <c r="Y8" s="3" t="s">
        <v>3</v>
      </c>
      <c r="Z8" s="3"/>
      <c r="AA8" s="4" t="s">
        <v>1</v>
      </c>
      <c r="AB8" s="4"/>
      <c r="AC8" s="4" t="s">
        <v>3</v>
      </c>
      <c r="AD8" s="4"/>
      <c r="AE8" s="5" t="s">
        <v>1</v>
      </c>
      <c r="AF8" s="5"/>
      <c r="AG8" s="5" t="s">
        <v>3</v>
      </c>
      <c r="AH8" s="5"/>
      <c r="AI8" s="2" t="s">
        <v>1</v>
      </c>
      <c r="AJ8" s="2"/>
      <c r="AK8" s="2" t="s">
        <v>3</v>
      </c>
      <c r="AL8" s="2"/>
      <c r="AM8" s="3" t="s">
        <v>1</v>
      </c>
      <c r="AN8" s="3"/>
      <c r="AO8" s="3" t="s">
        <v>3</v>
      </c>
      <c r="AP8" s="3"/>
      <c r="AQ8" s="4" t="s">
        <v>1</v>
      </c>
      <c r="AR8" s="4"/>
      <c r="AS8" s="4" t="s">
        <v>3</v>
      </c>
      <c r="AT8" s="4"/>
      <c r="AU8" s="5" t="s">
        <v>1</v>
      </c>
      <c r="AV8" s="5"/>
      <c r="AW8" s="5" t="s">
        <v>3</v>
      </c>
      <c r="AX8" s="5"/>
      <c r="AY8" s="2" t="s">
        <v>1</v>
      </c>
      <c r="AZ8" s="2"/>
      <c r="BA8" s="2" t="s">
        <v>3</v>
      </c>
      <c r="BB8" s="2"/>
      <c r="BC8" s="3" t="s">
        <v>1</v>
      </c>
      <c r="BD8" s="3"/>
      <c r="BE8" s="3" t="s">
        <v>3</v>
      </c>
      <c r="BF8" s="3"/>
    </row>
    <row r="9" spans="1:58">
      <c r="A9" s="1"/>
      <c r="B9" s="1"/>
      <c r="C9" s="8"/>
      <c r="D9" s="8"/>
      <c r="E9" s="6">
        <v>0.96881099999999998</v>
      </c>
      <c r="F9" s="6"/>
      <c r="G9" s="8"/>
      <c r="H9" s="8"/>
      <c r="I9" s="6">
        <v>0.97038800000000003</v>
      </c>
      <c r="J9" s="6"/>
      <c r="K9" s="8"/>
      <c r="L9" s="8"/>
      <c r="M9" s="6">
        <v>0.97186700000000004</v>
      </c>
      <c r="N9" s="6"/>
      <c r="O9" s="8"/>
      <c r="P9" s="8"/>
      <c r="Q9" s="6">
        <v>0.97318899999999997</v>
      </c>
      <c r="R9" s="6"/>
      <c r="S9" s="9"/>
      <c r="T9" s="9"/>
      <c r="U9" s="6">
        <v>0.97446600000000005</v>
      </c>
      <c r="V9" s="6"/>
      <c r="W9" s="9"/>
      <c r="X9" s="9"/>
      <c r="Y9" s="6">
        <v>0.97564600000000001</v>
      </c>
      <c r="Z9" s="6"/>
      <c r="AA9" s="9"/>
      <c r="AB9" s="9"/>
      <c r="AC9" s="6">
        <v>0.97674499999999997</v>
      </c>
      <c r="AD9" s="6"/>
      <c r="AE9" s="9"/>
      <c r="AF9" s="9"/>
      <c r="AG9" s="6">
        <v>0.97775500000000004</v>
      </c>
      <c r="AH9" s="6"/>
      <c r="AI9" s="8"/>
      <c r="AJ9" s="8"/>
      <c r="AK9" s="6">
        <v>0.97870199999999996</v>
      </c>
      <c r="AL9" s="6"/>
      <c r="AM9" s="8"/>
      <c r="AN9" s="8"/>
      <c r="AO9" s="6">
        <v>0.97958800000000001</v>
      </c>
      <c r="AP9" s="6"/>
      <c r="AQ9" s="8"/>
      <c r="AR9" s="8"/>
      <c r="AS9" s="6">
        <v>0.980402</v>
      </c>
      <c r="AT9" s="6"/>
      <c r="AU9" s="8"/>
      <c r="AV9" s="8"/>
      <c r="AW9" s="6">
        <v>0.981159</v>
      </c>
      <c r="AX9" s="6"/>
      <c r="AY9" s="8"/>
      <c r="AZ9" s="8"/>
      <c r="BA9" s="6">
        <v>0.98185100000000003</v>
      </c>
      <c r="BB9" s="6"/>
      <c r="BC9" s="8"/>
      <c r="BD9" s="8"/>
      <c r="BE9" s="6">
        <v>0.98250800000000005</v>
      </c>
      <c r="BF9" s="6"/>
    </row>
    <row r="10" spans="1:5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>
      <c r="A11" s="1" t="s">
        <v>5</v>
      </c>
      <c r="B11" s="1"/>
      <c r="C11" s="2" t="s">
        <v>1</v>
      </c>
      <c r="D11" s="2"/>
      <c r="E11" s="2" t="s">
        <v>2</v>
      </c>
      <c r="F11" s="2"/>
      <c r="G11" s="3" t="s">
        <v>1</v>
      </c>
      <c r="H11" s="3"/>
      <c r="I11" s="3" t="s">
        <v>2</v>
      </c>
      <c r="J11" s="3"/>
      <c r="K11" s="4" t="s">
        <v>1</v>
      </c>
      <c r="L11" s="4"/>
      <c r="M11" s="4" t="s">
        <v>2</v>
      </c>
      <c r="N11" s="4"/>
      <c r="O11" s="5" t="s">
        <v>1</v>
      </c>
      <c r="P11" s="5"/>
      <c r="Q11" s="5" t="s">
        <v>2</v>
      </c>
      <c r="R11" s="5"/>
      <c r="S11" s="2" t="s">
        <v>1</v>
      </c>
      <c r="T11" s="2"/>
      <c r="U11" s="2" t="s">
        <v>2</v>
      </c>
      <c r="V11" s="2"/>
      <c r="W11" s="3" t="s">
        <v>1</v>
      </c>
      <c r="X11" s="3"/>
      <c r="Y11" s="3" t="s">
        <v>2</v>
      </c>
      <c r="Z11" s="3"/>
      <c r="AA11" s="4" t="s">
        <v>1</v>
      </c>
      <c r="AB11" s="4"/>
      <c r="AC11" s="4" t="s">
        <v>2</v>
      </c>
      <c r="AD11" s="4"/>
      <c r="AE11" s="5" t="s">
        <v>1</v>
      </c>
      <c r="AF11" s="5"/>
      <c r="AG11" s="5" t="s">
        <v>2</v>
      </c>
      <c r="AH11" s="5"/>
      <c r="AI11" s="2" t="s">
        <v>1</v>
      </c>
      <c r="AJ11" s="2"/>
      <c r="AK11" s="2" t="s">
        <v>2</v>
      </c>
      <c r="AL11" s="2"/>
      <c r="AM11" s="3" t="s">
        <v>1</v>
      </c>
      <c r="AN11" s="3"/>
      <c r="AO11" s="3" t="s">
        <v>2</v>
      </c>
      <c r="AP11" s="3"/>
      <c r="AQ11" s="4" t="s">
        <v>1</v>
      </c>
      <c r="AR11" s="4"/>
      <c r="AS11" s="4" t="s">
        <v>2</v>
      </c>
      <c r="AT11" s="4"/>
      <c r="AU11" s="5" t="s">
        <v>1</v>
      </c>
      <c r="AV11" s="5"/>
      <c r="AW11" s="5" t="s">
        <v>2</v>
      </c>
      <c r="AX11" s="5"/>
      <c r="AY11" s="2" t="s">
        <v>1</v>
      </c>
      <c r="AZ11" s="2"/>
      <c r="BA11" s="2" t="s">
        <v>2</v>
      </c>
      <c r="BB11" s="2"/>
      <c r="BC11" s="3" t="s">
        <v>1</v>
      </c>
      <c r="BD11" s="3"/>
      <c r="BE11" s="3" t="s">
        <v>2</v>
      </c>
      <c r="BF11" s="3"/>
    </row>
    <row r="12" spans="1:58">
      <c r="A12" s="1"/>
      <c r="B12" s="1"/>
      <c r="C12" s="6">
        <v>8.8050000000000003E-3</v>
      </c>
      <c r="D12" s="6"/>
      <c r="E12" s="6">
        <v>36.569232</v>
      </c>
      <c r="F12" s="6"/>
      <c r="G12" s="6">
        <v>9.1979999999999996E-3</v>
      </c>
      <c r="H12" s="6"/>
      <c r="I12" s="6">
        <v>36.699776999999997</v>
      </c>
      <c r="J12" s="6"/>
      <c r="K12" s="6">
        <v>9.6209999999999993E-3</v>
      </c>
      <c r="L12" s="6"/>
      <c r="M12" s="6">
        <v>36.826422000000001</v>
      </c>
      <c r="N12" s="6"/>
      <c r="O12" s="6">
        <v>1.0094000000000001E-2</v>
      </c>
      <c r="P12" s="6"/>
      <c r="Q12" s="6">
        <v>36.949151000000001</v>
      </c>
      <c r="R12" s="6"/>
      <c r="S12" s="6">
        <v>1.0609E-2</v>
      </c>
      <c r="T12" s="6"/>
      <c r="U12" s="6">
        <v>37.069471999999998</v>
      </c>
      <c r="V12" s="6"/>
      <c r="W12" s="6">
        <v>1.1169E-2</v>
      </c>
      <c r="X12" s="6"/>
      <c r="Y12" s="6">
        <v>37.181230999999997</v>
      </c>
      <c r="Z12" s="6"/>
      <c r="AA12" s="6">
        <v>1.1797E-2</v>
      </c>
      <c r="AB12" s="6"/>
      <c r="AC12" s="6">
        <v>37.288770999999997</v>
      </c>
      <c r="AD12" s="6"/>
      <c r="AE12" s="6">
        <v>1.2489E-2</v>
      </c>
      <c r="AF12" s="6"/>
      <c r="AG12" s="6">
        <v>37.391646000000001</v>
      </c>
      <c r="AH12" s="6"/>
      <c r="AI12" s="6">
        <v>1.3233999999999999E-2</v>
      </c>
      <c r="AJ12" s="6"/>
      <c r="AK12" s="6">
        <v>37.487451999999998</v>
      </c>
      <c r="AL12" s="6"/>
      <c r="AM12" s="6">
        <v>1.4008E-2</v>
      </c>
      <c r="AN12" s="6"/>
      <c r="AO12" s="6">
        <v>37.567545000000003</v>
      </c>
      <c r="AP12" s="6"/>
      <c r="AQ12" s="6">
        <v>1.4801999999999999E-2</v>
      </c>
      <c r="AR12" s="6"/>
      <c r="AS12" s="6">
        <v>37.638992999999999</v>
      </c>
      <c r="AT12" s="6"/>
      <c r="AU12" s="6">
        <v>1.5715E-2</v>
      </c>
      <c r="AV12" s="6"/>
      <c r="AW12" s="6">
        <v>37.712435999999997</v>
      </c>
      <c r="AX12" s="6"/>
      <c r="AY12" s="6">
        <v>1.6756E-2</v>
      </c>
      <c r="AZ12" s="6"/>
      <c r="BA12" s="6">
        <v>37.784835999999999</v>
      </c>
      <c r="BB12" s="6"/>
      <c r="BC12" s="6">
        <v>1.7992999999999999E-2</v>
      </c>
      <c r="BD12" s="6"/>
      <c r="BE12" s="6">
        <v>37.8598</v>
      </c>
      <c r="BF12" s="6"/>
    </row>
    <row r="13" spans="1:58">
      <c r="A13" s="1"/>
      <c r="B13" s="1"/>
      <c r="C13" s="2" t="s">
        <v>1</v>
      </c>
      <c r="D13" s="2"/>
      <c r="E13" s="2" t="s">
        <v>3</v>
      </c>
      <c r="F13" s="2"/>
      <c r="G13" s="3" t="s">
        <v>1</v>
      </c>
      <c r="H13" s="3"/>
      <c r="I13" s="3" t="s">
        <v>3</v>
      </c>
      <c r="J13" s="3"/>
      <c r="K13" s="4" t="s">
        <v>1</v>
      </c>
      <c r="L13" s="4"/>
      <c r="M13" s="4" t="s">
        <v>3</v>
      </c>
      <c r="N13" s="4"/>
      <c r="O13" s="5" t="s">
        <v>1</v>
      </c>
      <c r="P13" s="5"/>
      <c r="Q13" s="5" t="s">
        <v>3</v>
      </c>
      <c r="R13" s="5"/>
      <c r="S13" s="2" t="s">
        <v>1</v>
      </c>
      <c r="T13" s="2"/>
      <c r="U13" s="2" t="s">
        <v>3</v>
      </c>
      <c r="V13" s="2"/>
      <c r="W13" s="3" t="s">
        <v>1</v>
      </c>
      <c r="X13" s="3"/>
      <c r="Y13" s="3" t="s">
        <v>3</v>
      </c>
      <c r="Z13" s="3"/>
      <c r="AA13" s="4" t="s">
        <v>1</v>
      </c>
      <c r="AB13" s="4"/>
      <c r="AC13" s="4" t="s">
        <v>3</v>
      </c>
      <c r="AD13" s="4"/>
      <c r="AE13" s="5" t="s">
        <v>1</v>
      </c>
      <c r="AF13" s="5"/>
      <c r="AG13" s="5" t="s">
        <v>3</v>
      </c>
      <c r="AH13" s="5"/>
      <c r="AI13" s="2" t="s">
        <v>1</v>
      </c>
      <c r="AJ13" s="2"/>
      <c r="AK13" s="2" t="s">
        <v>3</v>
      </c>
      <c r="AL13" s="2"/>
      <c r="AM13" s="3" t="s">
        <v>1</v>
      </c>
      <c r="AN13" s="3"/>
      <c r="AO13" s="3" t="s">
        <v>3</v>
      </c>
      <c r="AP13" s="3"/>
      <c r="AQ13" s="4" t="s">
        <v>1</v>
      </c>
      <c r="AR13" s="4"/>
      <c r="AS13" s="4" t="s">
        <v>3</v>
      </c>
      <c r="AT13" s="4"/>
      <c r="AU13" s="5" t="s">
        <v>1</v>
      </c>
      <c r="AV13" s="5"/>
      <c r="AW13" s="5" t="s">
        <v>3</v>
      </c>
      <c r="AX13" s="5"/>
      <c r="AY13" s="2" t="s">
        <v>1</v>
      </c>
      <c r="AZ13" s="2"/>
      <c r="BA13" s="2" t="s">
        <v>3</v>
      </c>
      <c r="BB13" s="2"/>
      <c r="BC13" s="3" t="s">
        <v>1</v>
      </c>
      <c r="BD13" s="3"/>
      <c r="BE13" s="3" t="s">
        <v>3</v>
      </c>
      <c r="BF13" s="3"/>
    </row>
    <row r="14" spans="1:58">
      <c r="A14" s="1"/>
      <c r="B14" s="1"/>
      <c r="C14" s="8"/>
      <c r="D14" s="8"/>
      <c r="E14" s="6">
        <v>0.97574799999999995</v>
      </c>
      <c r="F14" s="6"/>
      <c r="G14" s="8"/>
      <c r="H14" s="8"/>
      <c r="I14" s="6">
        <v>0.97630899999999998</v>
      </c>
      <c r="J14" s="6"/>
      <c r="K14" s="8"/>
      <c r="L14" s="8"/>
      <c r="M14" s="6">
        <v>0.97684300000000002</v>
      </c>
      <c r="N14" s="6"/>
      <c r="O14" s="8"/>
      <c r="P14" s="8"/>
      <c r="Q14" s="6">
        <v>0.97735000000000005</v>
      </c>
      <c r="R14" s="6"/>
      <c r="S14" s="9"/>
      <c r="T14" s="9"/>
      <c r="U14" s="6">
        <v>0.97784000000000004</v>
      </c>
      <c r="V14" s="6"/>
      <c r="W14" s="9"/>
      <c r="X14" s="9"/>
      <c r="Y14" s="6">
        <v>0.97828099999999996</v>
      </c>
      <c r="Z14" s="6"/>
      <c r="AA14" s="9"/>
      <c r="AB14" s="9"/>
      <c r="AC14" s="6">
        <v>0.97869600000000001</v>
      </c>
      <c r="AD14" s="6"/>
      <c r="AE14" s="9"/>
      <c r="AF14" s="9"/>
      <c r="AG14" s="6">
        <v>0.97908499999999998</v>
      </c>
      <c r="AH14" s="6"/>
      <c r="AI14" s="8"/>
      <c r="AJ14" s="8"/>
      <c r="AK14" s="6">
        <v>0.97945199999999999</v>
      </c>
      <c r="AL14" s="6"/>
      <c r="AM14" s="8"/>
      <c r="AN14" s="8"/>
      <c r="AO14" s="6">
        <v>0.97975299999999999</v>
      </c>
      <c r="AP14" s="6"/>
      <c r="AQ14" s="8"/>
      <c r="AR14" s="8"/>
      <c r="AS14" s="6">
        <v>0.98001199999999999</v>
      </c>
      <c r="AT14" s="6"/>
      <c r="AU14" s="8"/>
      <c r="AV14" s="8"/>
      <c r="AW14" s="6">
        <v>0.98027200000000003</v>
      </c>
      <c r="AX14" s="6"/>
      <c r="AY14" s="8"/>
      <c r="AZ14" s="8"/>
      <c r="BA14" s="6">
        <v>0.98052799999999996</v>
      </c>
      <c r="BB14" s="6"/>
      <c r="BC14" s="8"/>
      <c r="BD14" s="8"/>
      <c r="BE14" s="6">
        <v>0.98078399999999999</v>
      </c>
      <c r="BF14" s="6"/>
    </row>
    <row r="15" spans="1:5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>
      <c r="A16" s="1" t="s">
        <v>6</v>
      </c>
      <c r="B16" s="1"/>
      <c r="C16" s="2" t="s">
        <v>1</v>
      </c>
      <c r="D16" s="2"/>
      <c r="E16" s="2" t="s">
        <v>2</v>
      </c>
      <c r="F16" s="2"/>
      <c r="G16" s="3" t="s">
        <v>1</v>
      </c>
      <c r="H16" s="3"/>
      <c r="I16" s="3" t="s">
        <v>2</v>
      </c>
      <c r="J16" s="3"/>
      <c r="K16" s="4" t="s">
        <v>1</v>
      </c>
      <c r="L16" s="4"/>
      <c r="M16" s="4" t="s">
        <v>2</v>
      </c>
      <c r="N16" s="4"/>
      <c r="O16" s="5" t="s">
        <v>1</v>
      </c>
      <c r="P16" s="5"/>
      <c r="Q16" s="5" t="s">
        <v>2</v>
      </c>
      <c r="R16" s="5"/>
      <c r="S16" s="2" t="s">
        <v>1</v>
      </c>
      <c r="T16" s="2"/>
      <c r="U16" s="2" t="s">
        <v>2</v>
      </c>
      <c r="V16" s="2"/>
      <c r="W16" s="3" t="s">
        <v>1</v>
      </c>
      <c r="X16" s="3"/>
      <c r="Y16" s="3" t="s">
        <v>2</v>
      </c>
      <c r="Z16" s="3"/>
      <c r="AA16" s="4" t="s">
        <v>1</v>
      </c>
      <c r="AB16" s="4"/>
      <c r="AC16" s="4" t="s">
        <v>2</v>
      </c>
      <c r="AD16" s="4"/>
      <c r="AE16" s="5" t="s">
        <v>1</v>
      </c>
      <c r="AF16" s="5"/>
      <c r="AG16" s="5" t="s">
        <v>2</v>
      </c>
      <c r="AH16" s="5"/>
      <c r="AI16" s="2" t="s">
        <v>1</v>
      </c>
      <c r="AJ16" s="2"/>
      <c r="AK16" s="2" t="s">
        <v>2</v>
      </c>
      <c r="AL16" s="2"/>
      <c r="AM16" s="3" t="s">
        <v>1</v>
      </c>
      <c r="AN16" s="3"/>
      <c r="AO16" s="3" t="s">
        <v>2</v>
      </c>
      <c r="AP16" s="3"/>
      <c r="AQ16" s="4" t="s">
        <v>1</v>
      </c>
      <c r="AR16" s="4"/>
      <c r="AS16" s="4" t="s">
        <v>2</v>
      </c>
      <c r="AT16" s="4"/>
      <c r="AU16" s="5" t="s">
        <v>1</v>
      </c>
      <c r="AV16" s="5"/>
      <c r="AW16" s="5" t="s">
        <v>2</v>
      </c>
      <c r="AX16" s="5"/>
      <c r="AY16" s="2" t="s">
        <v>1</v>
      </c>
      <c r="AZ16" s="2"/>
      <c r="BA16" s="2" t="s">
        <v>2</v>
      </c>
      <c r="BB16" s="2"/>
      <c r="BC16" s="3" t="s">
        <v>1</v>
      </c>
      <c r="BD16" s="3"/>
      <c r="BE16" s="3" t="s">
        <v>2</v>
      </c>
      <c r="BF16" s="3"/>
    </row>
    <row r="17" spans="1:58">
      <c r="A17" s="1"/>
      <c r="B17" s="1"/>
      <c r="C17" s="6">
        <v>2.2388999999999999E-2</v>
      </c>
      <c r="D17" s="6"/>
      <c r="E17" s="6">
        <v>37.104413999999998</v>
      </c>
      <c r="F17" s="6"/>
      <c r="G17" s="6">
        <v>2.3566E-2</v>
      </c>
      <c r="H17" s="6"/>
      <c r="I17" s="6">
        <v>37.246799000000003</v>
      </c>
      <c r="J17" s="6"/>
      <c r="K17" s="6">
        <v>2.4836E-2</v>
      </c>
      <c r="L17" s="6"/>
      <c r="M17" s="6">
        <v>37.388891999999998</v>
      </c>
      <c r="N17" s="6"/>
      <c r="O17" s="6">
        <v>2.6232999999999999E-2</v>
      </c>
      <c r="P17" s="6"/>
      <c r="Q17" s="6">
        <v>37.527076999999998</v>
      </c>
      <c r="R17" s="6"/>
      <c r="S17" s="6">
        <v>2.7733000000000001E-2</v>
      </c>
      <c r="T17" s="6"/>
      <c r="U17" s="6">
        <v>37.661741999999997</v>
      </c>
      <c r="V17" s="6"/>
      <c r="W17" s="6">
        <v>2.9356E-2</v>
      </c>
      <c r="X17" s="6"/>
      <c r="Y17" s="6">
        <v>37.793196999999999</v>
      </c>
      <c r="Z17" s="6"/>
      <c r="AA17" s="6">
        <v>3.1084000000000001E-2</v>
      </c>
      <c r="AB17" s="6"/>
      <c r="AC17" s="6">
        <v>37.917637999999997</v>
      </c>
      <c r="AD17" s="6"/>
      <c r="AE17" s="6">
        <v>3.2955999999999999E-2</v>
      </c>
      <c r="AF17" s="6"/>
      <c r="AG17" s="6">
        <v>38.038657999999998</v>
      </c>
      <c r="AH17" s="6"/>
      <c r="AI17" s="6">
        <v>3.4948E-2</v>
      </c>
      <c r="AJ17" s="6"/>
      <c r="AK17" s="6">
        <v>38.154313000000002</v>
      </c>
      <c r="AL17" s="6"/>
      <c r="AM17" s="6">
        <v>3.7073000000000002E-2</v>
      </c>
      <c r="AN17" s="6"/>
      <c r="AO17" s="6">
        <v>38.263829000000001</v>
      </c>
      <c r="AP17" s="6"/>
      <c r="AQ17" s="6">
        <v>3.9365999999999998E-2</v>
      </c>
      <c r="AR17" s="6"/>
      <c r="AS17" s="6">
        <v>38.370216999999997</v>
      </c>
      <c r="AT17" s="6"/>
      <c r="AU17" s="6">
        <v>4.1827999999999997E-2</v>
      </c>
      <c r="AV17" s="6"/>
      <c r="AW17" s="6">
        <v>38.470753999999999</v>
      </c>
      <c r="AX17" s="6"/>
      <c r="AY17" s="6">
        <v>4.4484000000000003E-2</v>
      </c>
      <c r="AZ17" s="6"/>
      <c r="BA17" s="6">
        <v>38.568527000000003</v>
      </c>
      <c r="BB17" s="6"/>
      <c r="BC17" s="6">
        <v>4.7433999999999997E-2</v>
      </c>
      <c r="BD17" s="6"/>
      <c r="BE17" s="6">
        <v>38.663803999999999</v>
      </c>
      <c r="BF17" s="6"/>
    </row>
    <row r="18" spans="1:58">
      <c r="A18" s="1"/>
      <c r="B18" s="1"/>
      <c r="C18" s="2" t="s">
        <v>1</v>
      </c>
      <c r="D18" s="2"/>
      <c r="E18" s="2" t="s">
        <v>3</v>
      </c>
      <c r="F18" s="2"/>
      <c r="G18" s="3" t="s">
        <v>1</v>
      </c>
      <c r="H18" s="3"/>
      <c r="I18" s="3" t="s">
        <v>3</v>
      </c>
      <c r="J18" s="3"/>
      <c r="K18" s="4" t="s">
        <v>1</v>
      </c>
      <c r="L18" s="4"/>
      <c r="M18" s="4" t="s">
        <v>3</v>
      </c>
      <c r="N18" s="4"/>
      <c r="O18" s="5" t="s">
        <v>1</v>
      </c>
      <c r="P18" s="5"/>
      <c r="Q18" s="5" t="s">
        <v>3</v>
      </c>
      <c r="R18" s="5"/>
      <c r="S18" s="2" t="s">
        <v>1</v>
      </c>
      <c r="T18" s="2"/>
      <c r="U18" s="2" t="s">
        <v>3</v>
      </c>
      <c r="V18" s="2"/>
      <c r="W18" s="3" t="s">
        <v>1</v>
      </c>
      <c r="X18" s="3"/>
      <c r="Y18" s="3" t="s">
        <v>3</v>
      </c>
      <c r="Z18" s="3"/>
      <c r="AA18" s="4" t="s">
        <v>1</v>
      </c>
      <c r="AB18" s="4"/>
      <c r="AC18" s="4" t="s">
        <v>3</v>
      </c>
      <c r="AD18" s="4"/>
      <c r="AE18" s="5" t="s">
        <v>1</v>
      </c>
      <c r="AF18" s="5"/>
      <c r="AG18" s="5" t="s">
        <v>3</v>
      </c>
      <c r="AH18" s="5"/>
      <c r="AI18" s="2" t="s">
        <v>1</v>
      </c>
      <c r="AJ18" s="2"/>
      <c r="AK18" s="2" t="s">
        <v>3</v>
      </c>
      <c r="AL18" s="2"/>
      <c r="AM18" s="3" t="s">
        <v>1</v>
      </c>
      <c r="AN18" s="3"/>
      <c r="AO18" s="3" t="s">
        <v>3</v>
      </c>
      <c r="AP18" s="3"/>
      <c r="AQ18" s="4" t="s">
        <v>1</v>
      </c>
      <c r="AR18" s="4"/>
      <c r="AS18" s="4" t="s">
        <v>3</v>
      </c>
      <c r="AT18" s="4"/>
      <c r="AU18" s="5" t="s">
        <v>1</v>
      </c>
      <c r="AV18" s="5"/>
      <c r="AW18" s="5" t="s">
        <v>3</v>
      </c>
      <c r="AX18" s="5"/>
      <c r="AY18" s="2" t="s">
        <v>1</v>
      </c>
      <c r="AZ18" s="2"/>
      <c r="BA18" s="2" t="s">
        <v>3</v>
      </c>
      <c r="BB18" s="2"/>
      <c r="BC18" s="3" t="s">
        <v>1</v>
      </c>
      <c r="BD18" s="3"/>
      <c r="BE18" s="3" t="s">
        <v>3</v>
      </c>
      <c r="BF18" s="3"/>
    </row>
    <row r="19" spans="1:58">
      <c r="A19" s="1"/>
      <c r="B19" s="1"/>
      <c r="C19" s="8"/>
      <c r="D19" s="8"/>
      <c r="E19" s="6">
        <v>0.95645999999999998</v>
      </c>
      <c r="F19" s="6"/>
      <c r="G19" s="8"/>
      <c r="H19" s="8"/>
      <c r="I19" s="6">
        <v>0.95774099999999995</v>
      </c>
      <c r="J19" s="6"/>
      <c r="K19" s="8"/>
      <c r="L19" s="8"/>
      <c r="M19" s="6">
        <v>0.959009</v>
      </c>
      <c r="N19" s="6"/>
      <c r="O19" s="8"/>
      <c r="P19" s="8"/>
      <c r="Q19" s="6">
        <v>0.96021400000000001</v>
      </c>
      <c r="R19" s="6"/>
      <c r="S19" s="9"/>
      <c r="T19" s="9"/>
      <c r="U19" s="6">
        <v>0.96135300000000001</v>
      </c>
      <c r="V19" s="6"/>
      <c r="W19" s="9"/>
      <c r="X19" s="9"/>
      <c r="Y19" s="6">
        <v>0.96245099999999995</v>
      </c>
      <c r="Z19" s="6"/>
      <c r="AA19" s="9"/>
      <c r="AB19" s="9"/>
      <c r="AC19" s="6">
        <v>0.96346699999999996</v>
      </c>
      <c r="AD19" s="6"/>
      <c r="AE19" s="9"/>
      <c r="AF19" s="9"/>
      <c r="AG19" s="6">
        <v>0.96443000000000001</v>
      </c>
      <c r="AH19" s="6"/>
      <c r="AI19" s="8"/>
      <c r="AJ19" s="8"/>
      <c r="AK19" s="6">
        <v>0.96533100000000005</v>
      </c>
      <c r="AL19" s="6"/>
      <c r="AM19" s="8"/>
      <c r="AN19" s="8"/>
      <c r="AO19" s="6">
        <v>0.966171</v>
      </c>
      <c r="AP19" s="6"/>
      <c r="AQ19" s="8"/>
      <c r="AR19" s="8"/>
      <c r="AS19" s="6">
        <v>0.96697200000000005</v>
      </c>
      <c r="AT19" s="6"/>
      <c r="AU19" s="8"/>
      <c r="AV19" s="8"/>
      <c r="AW19" s="6">
        <v>0.96771700000000005</v>
      </c>
      <c r="AX19" s="6"/>
      <c r="AY19" s="8"/>
      <c r="AZ19" s="8"/>
      <c r="BA19" s="6">
        <v>0.96843400000000002</v>
      </c>
      <c r="BB19" s="6"/>
      <c r="BC19" s="8"/>
      <c r="BD19" s="8"/>
      <c r="BE19" s="6">
        <v>0.96912900000000002</v>
      </c>
      <c r="BF19" s="6"/>
    </row>
    <row r="20" spans="1:5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</row>
    <row r="21" spans="1:58">
      <c r="A21" s="1" t="s">
        <v>7</v>
      </c>
      <c r="B21" s="1"/>
      <c r="C21" s="2" t="s">
        <v>1</v>
      </c>
      <c r="D21" s="2"/>
      <c r="E21" s="2" t="s">
        <v>2</v>
      </c>
      <c r="F21" s="2"/>
      <c r="G21" s="3" t="s">
        <v>1</v>
      </c>
      <c r="H21" s="3"/>
      <c r="I21" s="3" t="s">
        <v>2</v>
      </c>
      <c r="J21" s="3"/>
      <c r="K21" s="4" t="s">
        <v>1</v>
      </c>
      <c r="L21" s="4"/>
      <c r="M21" s="4" t="s">
        <v>2</v>
      </c>
      <c r="N21" s="4"/>
      <c r="O21" s="5" t="s">
        <v>1</v>
      </c>
      <c r="P21" s="5"/>
      <c r="Q21" s="5" t="s">
        <v>2</v>
      </c>
      <c r="R21" s="5"/>
      <c r="S21" s="2" t="s">
        <v>1</v>
      </c>
      <c r="T21" s="2"/>
      <c r="U21" s="2" t="s">
        <v>2</v>
      </c>
      <c r="V21" s="2"/>
      <c r="W21" s="3" t="s">
        <v>1</v>
      </c>
      <c r="X21" s="3"/>
      <c r="Y21" s="3" t="s">
        <v>2</v>
      </c>
      <c r="Z21" s="3"/>
      <c r="AA21" s="4" t="s">
        <v>1</v>
      </c>
      <c r="AB21" s="4"/>
      <c r="AC21" s="4" t="s">
        <v>2</v>
      </c>
      <c r="AD21" s="4"/>
      <c r="AE21" s="5" t="s">
        <v>1</v>
      </c>
      <c r="AF21" s="5"/>
      <c r="AG21" s="5" t="s">
        <v>2</v>
      </c>
      <c r="AH21" s="5"/>
      <c r="AI21" s="2" t="s">
        <v>1</v>
      </c>
      <c r="AJ21" s="2"/>
      <c r="AK21" s="2" t="s">
        <v>2</v>
      </c>
      <c r="AL21" s="2"/>
      <c r="AM21" s="3" t="s">
        <v>1</v>
      </c>
      <c r="AN21" s="3"/>
      <c r="AO21" s="3" t="s">
        <v>2</v>
      </c>
      <c r="AP21" s="3"/>
      <c r="AQ21" s="4" t="s">
        <v>1</v>
      </c>
      <c r="AR21" s="4"/>
      <c r="AS21" s="4" t="s">
        <v>2</v>
      </c>
      <c r="AT21" s="4"/>
      <c r="AU21" s="5" t="s">
        <v>1</v>
      </c>
      <c r="AV21" s="5"/>
      <c r="AW21" s="5" t="s">
        <v>2</v>
      </c>
      <c r="AX21" s="5"/>
      <c r="AY21" s="2" t="s">
        <v>1</v>
      </c>
      <c r="AZ21" s="2"/>
      <c r="BA21" s="2" t="s">
        <v>2</v>
      </c>
      <c r="BB21" s="2"/>
      <c r="BC21" s="3" t="s">
        <v>1</v>
      </c>
      <c r="BD21" s="3"/>
      <c r="BE21" s="3" t="s">
        <v>2</v>
      </c>
      <c r="BF21" s="3"/>
    </row>
    <row r="22" spans="1:58">
      <c r="A22" s="1"/>
      <c r="B22" s="1"/>
      <c r="C22" s="6">
        <v>3.3000000000000002E-2</v>
      </c>
      <c r="D22" s="6"/>
      <c r="E22" s="6">
        <v>35.834088000000001</v>
      </c>
      <c r="F22" s="6"/>
      <c r="G22" s="6">
        <v>3.4868000000000003E-2</v>
      </c>
      <c r="H22" s="6"/>
      <c r="I22" s="6">
        <v>36.078257000000001</v>
      </c>
      <c r="J22" s="6"/>
      <c r="K22" s="6">
        <v>3.6910999999999999E-2</v>
      </c>
      <c r="L22" s="6"/>
      <c r="M22" s="6">
        <v>36.321232000000002</v>
      </c>
      <c r="N22" s="6"/>
      <c r="O22" s="6">
        <v>3.9071000000000002E-2</v>
      </c>
      <c r="P22" s="6"/>
      <c r="Q22" s="6">
        <v>36.565221999999999</v>
      </c>
      <c r="R22" s="6"/>
      <c r="S22" s="6">
        <v>4.1394E-2</v>
      </c>
      <c r="T22" s="6"/>
      <c r="U22" s="6">
        <v>36.806629999999998</v>
      </c>
      <c r="V22" s="6"/>
      <c r="W22" s="6">
        <v>4.3851000000000001E-2</v>
      </c>
      <c r="X22" s="6"/>
      <c r="Y22" s="6">
        <v>37.042220999999998</v>
      </c>
      <c r="Z22" s="6"/>
      <c r="AA22" s="6">
        <v>4.6486E-2</v>
      </c>
      <c r="AB22" s="6"/>
      <c r="AC22" s="6">
        <v>37.275905999999999</v>
      </c>
      <c r="AD22" s="6"/>
      <c r="AE22" s="6">
        <v>4.9293999999999998E-2</v>
      </c>
      <c r="AF22" s="6"/>
      <c r="AG22" s="6">
        <v>37.504418000000001</v>
      </c>
      <c r="AH22" s="6"/>
      <c r="AI22" s="6">
        <v>5.2273E-2</v>
      </c>
      <c r="AJ22" s="6"/>
      <c r="AK22" s="6">
        <v>37.727500999999997</v>
      </c>
      <c r="AL22" s="6"/>
      <c r="AM22" s="6">
        <v>5.5412000000000003E-2</v>
      </c>
      <c r="AN22" s="6"/>
      <c r="AO22" s="6">
        <v>37.941499999999998</v>
      </c>
      <c r="AP22" s="6"/>
      <c r="AQ22" s="6">
        <v>5.8748000000000002E-2</v>
      </c>
      <c r="AR22" s="6"/>
      <c r="AS22" s="6">
        <v>38.153962999999997</v>
      </c>
      <c r="AT22" s="6"/>
      <c r="AU22" s="6">
        <v>6.2314000000000001E-2</v>
      </c>
      <c r="AV22" s="6"/>
      <c r="AW22" s="6">
        <v>38.357140000000001</v>
      </c>
      <c r="AX22" s="6"/>
      <c r="AY22" s="6">
        <v>6.6069000000000003E-2</v>
      </c>
      <c r="AZ22" s="6"/>
      <c r="BA22" s="6">
        <v>38.554603</v>
      </c>
      <c r="BB22" s="6"/>
      <c r="BC22" s="6">
        <v>7.0070999999999994E-2</v>
      </c>
      <c r="BD22" s="6"/>
      <c r="BE22" s="6">
        <v>38.744745000000002</v>
      </c>
      <c r="BF22" s="6"/>
    </row>
    <row r="23" spans="1:58">
      <c r="A23" s="1"/>
      <c r="B23" s="1"/>
      <c r="C23" s="2" t="s">
        <v>1</v>
      </c>
      <c r="D23" s="2"/>
      <c r="E23" s="2" t="s">
        <v>3</v>
      </c>
      <c r="F23" s="2"/>
      <c r="G23" s="3" t="s">
        <v>1</v>
      </c>
      <c r="H23" s="3"/>
      <c r="I23" s="3" t="s">
        <v>3</v>
      </c>
      <c r="J23" s="3"/>
      <c r="K23" s="4" t="s">
        <v>1</v>
      </c>
      <c r="L23" s="4"/>
      <c r="M23" s="4" t="s">
        <v>3</v>
      </c>
      <c r="N23" s="4"/>
      <c r="O23" s="5" t="s">
        <v>1</v>
      </c>
      <c r="P23" s="5"/>
      <c r="Q23" s="5" t="s">
        <v>3</v>
      </c>
      <c r="R23" s="5"/>
      <c r="S23" s="2" t="s">
        <v>1</v>
      </c>
      <c r="T23" s="2"/>
      <c r="U23" s="2" t="s">
        <v>3</v>
      </c>
      <c r="V23" s="2"/>
      <c r="W23" s="3" t="s">
        <v>1</v>
      </c>
      <c r="X23" s="3"/>
      <c r="Y23" s="3" t="s">
        <v>3</v>
      </c>
      <c r="Z23" s="3"/>
      <c r="AA23" s="4" t="s">
        <v>1</v>
      </c>
      <c r="AB23" s="4"/>
      <c r="AC23" s="4" t="s">
        <v>3</v>
      </c>
      <c r="AD23" s="4"/>
      <c r="AE23" s="5" t="s">
        <v>1</v>
      </c>
      <c r="AF23" s="5"/>
      <c r="AG23" s="5" t="s">
        <v>3</v>
      </c>
      <c r="AH23" s="5"/>
      <c r="AI23" s="2" t="s">
        <v>1</v>
      </c>
      <c r="AJ23" s="2"/>
      <c r="AK23" s="2" t="s">
        <v>3</v>
      </c>
      <c r="AL23" s="2"/>
      <c r="AM23" s="3" t="s">
        <v>1</v>
      </c>
      <c r="AN23" s="3"/>
      <c r="AO23" s="3" t="s">
        <v>3</v>
      </c>
      <c r="AP23" s="3"/>
      <c r="AQ23" s="4" t="s">
        <v>1</v>
      </c>
      <c r="AR23" s="4"/>
      <c r="AS23" s="4" t="s">
        <v>3</v>
      </c>
      <c r="AT23" s="4"/>
      <c r="AU23" s="5" t="s">
        <v>1</v>
      </c>
      <c r="AV23" s="5"/>
      <c r="AW23" s="5" t="s">
        <v>3</v>
      </c>
      <c r="AX23" s="5"/>
      <c r="AY23" s="2" t="s">
        <v>1</v>
      </c>
      <c r="AZ23" s="2"/>
      <c r="BA23" s="2" t="s">
        <v>3</v>
      </c>
      <c r="BB23" s="2"/>
      <c r="BC23" s="3" t="s">
        <v>1</v>
      </c>
      <c r="BD23" s="3"/>
      <c r="BE23" s="3" t="s">
        <v>3</v>
      </c>
      <c r="BF23" s="3"/>
    </row>
    <row r="24" spans="1:58">
      <c r="A24" s="1"/>
      <c r="B24" s="1"/>
      <c r="C24" s="8"/>
      <c r="D24" s="8"/>
      <c r="E24" s="6">
        <v>0.97867899999999997</v>
      </c>
      <c r="F24" s="6"/>
      <c r="G24" s="8"/>
      <c r="H24" s="8"/>
      <c r="I24" s="6">
        <v>0.97964399999999996</v>
      </c>
      <c r="J24" s="6"/>
      <c r="K24" s="8"/>
      <c r="L24" s="8"/>
      <c r="M24" s="6">
        <v>0.98055300000000001</v>
      </c>
      <c r="N24" s="6"/>
      <c r="O24" s="8"/>
      <c r="P24" s="8"/>
      <c r="Q24" s="6">
        <v>0.98141100000000003</v>
      </c>
      <c r="R24" s="6"/>
      <c r="S24" s="9"/>
      <c r="T24" s="9"/>
      <c r="U24" s="6">
        <v>0.98223300000000002</v>
      </c>
      <c r="V24" s="6"/>
      <c r="W24" s="9"/>
      <c r="X24" s="9"/>
      <c r="Y24" s="6">
        <v>0.98297699999999999</v>
      </c>
      <c r="Z24" s="6"/>
      <c r="AA24" s="9"/>
      <c r="AB24" s="9"/>
      <c r="AC24" s="6">
        <v>0.98369200000000001</v>
      </c>
      <c r="AD24" s="6"/>
      <c r="AE24" s="9"/>
      <c r="AF24" s="9"/>
      <c r="AG24" s="6">
        <v>0.984348</v>
      </c>
      <c r="AH24" s="6"/>
      <c r="AI24" s="8"/>
      <c r="AJ24" s="8"/>
      <c r="AK24" s="6">
        <v>0.98496099999999998</v>
      </c>
      <c r="AL24" s="6"/>
      <c r="AM24" s="8"/>
      <c r="AN24" s="8"/>
      <c r="AO24" s="6">
        <v>0.98552200000000001</v>
      </c>
      <c r="AP24" s="6"/>
      <c r="AQ24" s="8"/>
      <c r="AR24" s="8"/>
      <c r="AS24" s="6">
        <v>0.98605100000000001</v>
      </c>
      <c r="AT24" s="6"/>
      <c r="AU24" s="8"/>
      <c r="AV24" s="8"/>
      <c r="AW24" s="6">
        <v>0.98653400000000002</v>
      </c>
      <c r="AX24" s="6"/>
      <c r="AY24" s="8"/>
      <c r="AZ24" s="8"/>
      <c r="BA24" s="6">
        <v>0.98698799999999998</v>
      </c>
      <c r="BB24" s="6"/>
      <c r="BC24" s="8"/>
      <c r="BD24" s="8"/>
      <c r="BE24" s="6">
        <v>0.98740399999999995</v>
      </c>
      <c r="BF24" s="6"/>
    </row>
    <row r="25" spans="1:58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>
      <c r="A26" s="1" t="s">
        <v>8</v>
      </c>
      <c r="B26" s="1"/>
      <c r="C26" s="2" t="s">
        <v>1</v>
      </c>
      <c r="D26" s="2"/>
      <c r="E26" s="2" t="s">
        <v>2</v>
      </c>
      <c r="F26" s="2"/>
      <c r="G26" s="3" t="s">
        <v>1</v>
      </c>
      <c r="H26" s="3"/>
      <c r="I26" s="3" t="s">
        <v>2</v>
      </c>
      <c r="J26" s="3"/>
      <c r="K26" s="4" t="s">
        <v>1</v>
      </c>
      <c r="L26" s="4"/>
      <c r="M26" s="4" t="s">
        <v>2</v>
      </c>
      <c r="N26" s="4"/>
      <c r="O26" s="5" t="s">
        <v>1</v>
      </c>
      <c r="P26" s="5"/>
      <c r="Q26" s="5" t="s">
        <v>2</v>
      </c>
      <c r="R26" s="5"/>
      <c r="S26" s="2" t="s">
        <v>1</v>
      </c>
      <c r="T26" s="2"/>
      <c r="U26" s="2" t="s">
        <v>2</v>
      </c>
      <c r="V26" s="2"/>
      <c r="W26" s="3" t="s">
        <v>1</v>
      </c>
      <c r="X26" s="3"/>
      <c r="Y26" s="3" t="s">
        <v>2</v>
      </c>
      <c r="Z26" s="3"/>
      <c r="AA26" s="4" t="s">
        <v>1</v>
      </c>
      <c r="AB26" s="4"/>
      <c r="AC26" s="4" t="s">
        <v>2</v>
      </c>
      <c r="AD26" s="4"/>
      <c r="AE26" s="5" t="s">
        <v>1</v>
      </c>
      <c r="AF26" s="5"/>
      <c r="AG26" s="5" t="s">
        <v>2</v>
      </c>
      <c r="AH26" s="5"/>
      <c r="AI26" s="2" t="s">
        <v>1</v>
      </c>
      <c r="AJ26" s="2"/>
      <c r="AK26" s="2" t="s">
        <v>2</v>
      </c>
      <c r="AL26" s="2"/>
      <c r="AM26" s="3" t="s">
        <v>1</v>
      </c>
      <c r="AN26" s="3"/>
      <c r="AO26" s="3" t="s">
        <v>2</v>
      </c>
      <c r="AP26" s="3"/>
      <c r="AQ26" s="4" t="s">
        <v>1</v>
      </c>
      <c r="AR26" s="4"/>
      <c r="AS26" s="4" t="s">
        <v>2</v>
      </c>
      <c r="AT26" s="4"/>
      <c r="AU26" s="5" t="s">
        <v>1</v>
      </c>
      <c r="AV26" s="5"/>
      <c r="AW26" s="5" t="s">
        <v>2</v>
      </c>
      <c r="AX26" s="5"/>
      <c r="AY26" s="2" t="s">
        <v>1</v>
      </c>
      <c r="AZ26" s="2"/>
      <c r="BA26" s="2" t="s">
        <v>2</v>
      </c>
      <c r="BB26" s="2"/>
      <c r="BC26" s="3" t="s">
        <v>1</v>
      </c>
      <c r="BD26" s="3"/>
      <c r="BE26" s="3" t="s">
        <v>2</v>
      </c>
      <c r="BF26" s="3"/>
    </row>
    <row r="27" spans="1:58">
      <c r="A27" s="1"/>
      <c r="B27" s="1"/>
      <c r="C27" s="6">
        <v>3.0609999999999998E-2</v>
      </c>
      <c r="D27" s="6"/>
      <c r="E27" s="6">
        <v>34.602801999999997</v>
      </c>
      <c r="F27" s="6"/>
      <c r="G27" s="6">
        <v>3.3251000000000003E-2</v>
      </c>
      <c r="H27" s="6"/>
      <c r="I27" s="6">
        <v>34.796878999999997</v>
      </c>
      <c r="J27" s="6"/>
      <c r="K27" s="6">
        <v>3.6174999999999999E-2</v>
      </c>
      <c r="L27" s="6"/>
      <c r="M27" s="6">
        <v>34.992749000000003</v>
      </c>
      <c r="N27" s="6"/>
      <c r="O27" s="6">
        <v>3.9357999999999997E-2</v>
      </c>
      <c r="P27" s="6"/>
      <c r="Q27" s="6">
        <v>35.186548000000002</v>
      </c>
      <c r="R27" s="6"/>
      <c r="S27" s="6">
        <v>4.2816E-2</v>
      </c>
      <c r="T27" s="6"/>
      <c r="U27" s="6">
        <v>35.377907999999998</v>
      </c>
      <c r="V27" s="6"/>
      <c r="W27" s="6">
        <v>4.6615999999999998E-2</v>
      </c>
      <c r="X27" s="6"/>
      <c r="Y27" s="6">
        <v>35.571218999999999</v>
      </c>
      <c r="Z27" s="6"/>
      <c r="AA27" s="6">
        <v>5.0679000000000002E-2</v>
      </c>
      <c r="AB27" s="6"/>
      <c r="AC27" s="6">
        <v>35.757072999999998</v>
      </c>
      <c r="AD27" s="6"/>
      <c r="AE27" s="6">
        <v>5.5021E-2</v>
      </c>
      <c r="AF27" s="6"/>
      <c r="AG27" s="6">
        <v>35.936185000000002</v>
      </c>
      <c r="AH27" s="6"/>
      <c r="AI27" s="6">
        <v>5.9638999999999998E-2</v>
      </c>
      <c r="AJ27" s="6"/>
      <c r="AK27" s="6">
        <v>36.106844000000002</v>
      </c>
      <c r="AL27" s="6"/>
      <c r="AM27" s="6">
        <v>6.4589999999999995E-2</v>
      </c>
      <c r="AN27" s="6"/>
      <c r="AO27" s="6">
        <v>36.272537</v>
      </c>
      <c r="AP27" s="6"/>
      <c r="AQ27" s="6">
        <v>6.9977999999999999E-2</v>
      </c>
      <c r="AR27" s="6"/>
      <c r="AS27" s="6">
        <v>36.435876999999998</v>
      </c>
      <c r="AT27" s="6"/>
      <c r="AU27" s="6">
        <v>7.5729000000000005E-2</v>
      </c>
      <c r="AV27" s="6"/>
      <c r="AW27" s="6">
        <v>36.599687000000003</v>
      </c>
      <c r="AX27" s="6"/>
      <c r="AY27" s="6">
        <v>8.1948999999999994E-2</v>
      </c>
      <c r="AZ27" s="6"/>
      <c r="BA27" s="6">
        <v>36.761299999999999</v>
      </c>
      <c r="BB27" s="6"/>
      <c r="BC27" s="6">
        <v>8.8616E-2</v>
      </c>
      <c r="BD27" s="6"/>
      <c r="BE27" s="6">
        <v>36.918844</v>
      </c>
      <c r="BF27" s="6"/>
    </row>
    <row r="28" spans="1:58">
      <c r="A28" s="1"/>
      <c r="B28" s="1"/>
      <c r="C28" s="2" t="s">
        <v>1</v>
      </c>
      <c r="D28" s="2"/>
      <c r="E28" s="2" t="s">
        <v>3</v>
      </c>
      <c r="F28" s="2"/>
      <c r="G28" s="3" t="s">
        <v>1</v>
      </c>
      <c r="H28" s="3"/>
      <c r="I28" s="3" t="s">
        <v>3</v>
      </c>
      <c r="J28" s="3"/>
      <c r="K28" s="4" t="s">
        <v>1</v>
      </c>
      <c r="L28" s="4"/>
      <c r="M28" s="4" t="s">
        <v>3</v>
      </c>
      <c r="N28" s="4"/>
      <c r="O28" s="5" t="s">
        <v>1</v>
      </c>
      <c r="P28" s="5"/>
      <c r="Q28" s="5" t="s">
        <v>3</v>
      </c>
      <c r="R28" s="5"/>
      <c r="S28" s="2" t="s">
        <v>1</v>
      </c>
      <c r="T28" s="2"/>
      <c r="U28" s="2" t="s">
        <v>3</v>
      </c>
      <c r="V28" s="2"/>
      <c r="W28" s="3" t="s">
        <v>1</v>
      </c>
      <c r="X28" s="3"/>
      <c r="Y28" s="3" t="s">
        <v>3</v>
      </c>
      <c r="Z28" s="3"/>
      <c r="AA28" s="4" t="s">
        <v>1</v>
      </c>
      <c r="AB28" s="4"/>
      <c r="AC28" s="4" t="s">
        <v>3</v>
      </c>
      <c r="AD28" s="4"/>
      <c r="AE28" s="5" t="s">
        <v>1</v>
      </c>
      <c r="AF28" s="5"/>
      <c r="AG28" s="5" t="s">
        <v>3</v>
      </c>
      <c r="AH28" s="5"/>
      <c r="AI28" s="2" t="s">
        <v>1</v>
      </c>
      <c r="AJ28" s="2"/>
      <c r="AK28" s="2" t="s">
        <v>3</v>
      </c>
      <c r="AL28" s="2"/>
      <c r="AM28" s="3" t="s">
        <v>1</v>
      </c>
      <c r="AN28" s="3"/>
      <c r="AO28" s="3" t="s">
        <v>3</v>
      </c>
      <c r="AP28" s="3"/>
      <c r="AQ28" s="4" t="s">
        <v>1</v>
      </c>
      <c r="AR28" s="4"/>
      <c r="AS28" s="4" t="s">
        <v>3</v>
      </c>
      <c r="AT28" s="4"/>
      <c r="AU28" s="5" t="s">
        <v>1</v>
      </c>
      <c r="AV28" s="5"/>
      <c r="AW28" s="5" t="s">
        <v>3</v>
      </c>
      <c r="AX28" s="5"/>
      <c r="AY28" s="2" t="s">
        <v>1</v>
      </c>
      <c r="AZ28" s="2"/>
      <c r="BA28" s="2" t="s">
        <v>3</v>
      </c>
      <c r="BB28" s="2"/>
      <c r="BC28" s="3" t="s">
        <v>1</v>
      </c>
      <c r="BD28" s="3"/>
      <c r="BE28" s="3" t="s">
        <v>3</v>
      </c>
      <c r="BF28" s="3"/>
    </row>
    <row r="29" spans="1:58">
      <c r="A29" s="1"/>
      <c r="B29" s="1"/>
      <c r="C29" s="8"/>
      <c r="D29" s="8"/>
      <c r="E29" s="6">
        <v>0.953013</v>
      </c>
      <c r="F29" s="6"/>
      <c r="G29" s="8"/>
      <c r="H29" s="8"/>
      <c r="I29" s="6">
        <v>0.95514699999999997</v>
      </c>
      <c r="J29" s="6"/>
      <c r="K29" s="8"/>
      <c r="L29" s="8"/>
      <c r="M29" s="6">
        <v>0.95726500000000003</v>
      </c>
      <c r="N29" s="6"/>
      <c r="O29" s="8"/>
      <c r="P29" s="8"/>
      <c r="Q29" s="6">
        <v>0.95927300000000004</v>
      </c>
      <c r="R29" s="6"/>
      <c r="S29" s="9"/>
      <c r="T29" s="9"/>
      <c r="U29" s="6">
        <v>0.961206</v>
      </c>
      <c r="V29" s="6"/>
      <c r="W29" s="9"/>
      <c r="X29" s="9"/>
      <c r="Y29" s="6">
        <v>0.96305600000000002</v>
      </c>
      <c r="Z29" s="6"/>
      <c r="AA29" s="9"/>
      <c r="AB29" s="9"/>
      <c r="AC29" s="6">
        <v>0.96477000000000002</v>
      </c>
      <c r="AD29" s="6"/>
      <c r="AE29" s="9"/>
      <c r="AF29" s="9"/>
      <c r="AG29" s="6">
        <v>0.96635700000000002</v>
      </c>
      <c r="AH29" s="6"/>
      <c r="AI29" s="8"/>
      <c r="AJ29" s="8"/>
      <c r="AK29" s="6">
        <v>0.96779999999999999</v>
      </c>
      <c r="AL29" s="6"/>
      <c r="AM29" s="8"/>
      <c r="AN29" s="8"/>
      <c r="AO29" s="6">
        <v>0.96914599999999995</v>
      </c>
      <c r="AP29" s="6"/>
      <c r="AQ29" s="8"/>
      <c r="AR29" s="8"/>
      <c r="AS29" s="6">
        <v>0.97040700000000002</v>
      </c>
      <c r="AT29" s="6"/>
      <c r="AU29" s="8"/>
      <c r="AV29" s="8"/>
      <c r="AW29" s="6">
        <v>0.97160199999999997</v>
      </c>
      <c r="AX29" s="6"/>
      <c r="AY29" s="8"/>
      <c r="AZ29" s="8"/>
      <c r="BA29" s="6">
        <v>0.97271700000000005</v>
      </c>
      <c r="BB29" s="6"/>
      <c r="BC29" s="8"/>
      <c r="BD29" s="8"/>
      <c r="BE29" s="6">
        <v>0.97375599999999995</v>
      </c>
      <c r="BF29" s="6"/>
    </row>
    <row r="30" spans="1:58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</row>
    <row r="31" spans="1:58">
      <c r="A31" s="1" t="s">
        <v>9</v>
      </c>
      <c r="B31" s="1"/>
      <c r="C31" s="2" t="s">
        <v>1</v>
      </c>
      <c r="D31" s="2"/>
      <c r="E31" s="2" t="s">
        <v>2</v>
      </c>
      <c r="F31" s="2"/>
      <c r="G31" s="3" t="s">
        <v>1</v>
      </c>
      <c r="H31" s="3"/>
      <c r="I31" s="3" t="s">
        <v>2</v>
      </c>
      <c r="J31" s="3"/>
      <c r="K31" s="4" t="s">
        <v>1</v>
      </c>
      <c r="L31" s="4"/>
      <c r="M31" s="4" t="s">
        <v>2</v>
      </c>
      <c r="N31" s="4"/>
      <c r="O31" s="5" t="s">
        <v>1</v>
      </c>
      <c r="P31" s="5"/>
      <c r="Q31" s="5" t="s">
        <v>2</v>
      </c>
      <c r="R31" s="5"/>
      <c r="S31" s="2" t="s">
        <v>1</v>
      </c>
      <c r="T31" s="2"/>
      <c r="U31" s="2" t="s">
        <v>2</v>
      </c>
      <c r="V31" s="2"/>
      <c r="W31" s="3" t="s">
        <v>1</v>
      </c>
      <c r="X31" s="3"/>
      <c r="Y31" s="3" t="s">
        <v>2</v>
      </c>
      <c r="Z31" s="3"/>
      <c r="AA31" s="4" t="s">
        <v>1</v>
      </c>
      <c r="AB31" s="4"/>
      <c r="AC31" s="4" t="s">
        <v>2</v>
      </c>
      <c r="AD31" s="4"/>
      <c r="AE31" s="5" t="s">
        <v>1</v>
      </c>
      <c r="AF31" s="5"/>
      <c r="AG31" s="5" t="s">
        <v>2</v>
      </c>
      <c r="AH31" s="5"/>
      <c r="AI31" s="2" t="s">
        <v>1</v>
      </c>
      <c r="AJ31" s="2"/>
      <c r="AK31" s="2" t="s">
        <v>2</v>
      </c>
      <c r="AL31" s="2"/>
      <c r="AM31" s="3" t="s">
        <v>1</v>
      </c>
      <c r="AN31" s="3"/>
      <c r="AO31" s="3" t="s">
        <v>2</v>
      </c>
      <c r="AP31" s="3"/>
      <c r="AQ31" s="4" t="s">
        <v>1</v>
      </c>
      <c r="AR31" s="4"/>
      <c r="AS31" s="4" t="s">
        <v>2</v>
      </c>
      <c r="AT31" s="4"/>
      <c r="AU31" s="5" t="s">
        <v>1</v>
      </c>
      <c r="AV31" s="5"/>
      <c r="AW31" s="5" t="s">
        <v>2</v>
      </c>
      <c r="AX31" s="5"/>
      <c r="AY31" s="2" t="s">
        <v>1</v>
      </c>
      <c r="AZ31" s="2"/>
      <c r="BA31" s="2" t="s">
        <v>2</v>
      </c>
      <c r="BB31" s="2"/>
      <c r="BC31" s="3" t="s">
        <v>1</v>
      </c>
      <c r="BD31" s="3"/>
      <c r="BE31" s="3" t="s">
        <v>2</v>
      </c>
      <c r="BF31" s="3"/>
    </row>
    <row r="32" spans="1:58">
      <c r="A32" s="1"/>
      <c r="B32" s="1"/>
      <c r="C32" s="6">
        <v>4.8039999999999999E-2</v>
      </c>
      <c r="D32" s="6"/>
      <c r="E32" s="6">
        <v>35.204889000000001</v>
      </c>
      <c r="F32" s="6"/>
      <c r="G32" s="6">
        <v>5.1574000000000002E-2</v>
      </c>
      <c r="H32" s="6"/>
      <c r="I32" s="6">
        <v>35.473201000000003</v>
      </c>
      <c r="J32" s="6"/>
      <c r="K32" s="6">
        <v>5.5391999999999997E-2</v>
      </c>
      <c r="L32" s="6"/>
      <c r="M32" s="6">
        <v>35.742494000000001</v>
      </c>
      <c r="N32" s="6"/>
      <c r="O32" s="6">
        <v>5.9499000000000003E-2</v>
      </c>
      <c r="P32" s="6"/>
      <c r="Q32" s="6">
        <v>36.017583000000002</v>
      </c>
      <c r="R32" s="6"/>
      <c r="S32" s="6">
        <v>6.3894999999999993E-2</v>
      </c>
      <c r="T32" s="6"/>
      <c r="U32" s="6">
        <v>36.291445000000003</v>
      </c>
      <c r="V32" s="6"/>
      <c r="W32" s="6">
        <v>6.8562999999999999E-2</v>
      </c>
      <c r="X32" s="6"/>
      <c r="Y32" s="6">
        <v>36.561903000000001</v>
      </c>
      <c r="Z32" s="6"/>
      <c r="AA32" s="6">
        <v>7.3524999999999993E-2</v>
      </c>
      <c r="AB32" s="6"/>
      <c r="AC32" s="6">
        <v>36.830776999999998</v>
      </c>
      <c r="AD32" s="6"/>
      <c r="AE32" s="6">
        <v>7.8784999999999994E-2</v>
      </c>
      <c r="AF32" s="6"/>
      <c r="AG32" s="6">
        <v>37.093912000000003</v>
      </c>
      <c r="AH32" s="6"/>
      <c r="AI32" s="6">
        <v>8.4328E-2</v>
      </c>
      <c r="AJ32" s="6"/>
      <c r="AK32" s="6">
        <v>37.351495</v>
      </c>
      <c r="AL32" s="6"/>
      <c r="AM32" s="6">
        <v>9.0129000000000001E-2</v>
      </c>
      <c r="AN32" s="6"/>
      <c r="AO32" s="6">
        <v>37.601090999999997</v>
      </c>
      <c r="AP32" s="6"/>
      <c r="AQ32" s="6">
        <v>9.6239000000000005E-2</v>
      </c>
      <c r="AR32" s="6"/>
      <c r="AS32" s="6">
        <v>37.844949999999997</v>
      </c>
      <c r="AT32" s="6"/>
      <c r="AU32" s="6">
        <v>0.1026</v>
      </c>
      <c r="AV32" s="6"/>
      <c r="AW32" s="6">
        <v>38.07987</v>
      </c>
      <c r="AX32" s="6"/>
      <c r="AY32" s="6">
        <v>0.109221</v>
      </c>
      <c r="AZ32" s="6"/>
      <c r="BA32" s="6">
        <v>38.305962000000001</v>
      </c>
      <c r="BB32" s="6"/>
      <c r="BC32" s="6">
        <v>0.11613800000000001</v>
      </c>
      <c r="BD32" s="6"/>
      <c r="BE32" s="6">
        <v>38.523420999999999</v>
      </c>
      <c r="BF32" s="6"/>
    </row>
    <row r="33" spans="1:58">
      <c r="A33" s="1"/>
      <c r="B33" s="1"/>
      <c r="C33" s="2" t="s">
        <v>1</v>
      </c>
      <c r="D33" s="2"/>
      <c r="E33" s="2" t="s">
        <v>3</v>
      </c>
      <c r="F33" s="2"/>
      <c r="G33" s="3" t="s">
        <v>1</v>
      </c>
      <c r="H33" s="3"/>
      <c r="I33" s="3" t="s">
        <v>3</v>
      </c>
      <c r="J33" s="3"/>
      <c r="K33" s="4" t="s">
        <v>1</v>
      </c>
      <c r="L33" s="4"/>
      <c r="M33" s="4" t="s">
        <v>3</v>
      </c>
      <c r="N33" s="4"/>
      <c r="O33" s="5" t="s">
        <v>1</v>
      </c>
      <c r="P33" s="5"/>
      <c r="Q33" s="5" t="s">
        <v>3</v>
      </c>
      <c r="R33" s="5"/>
      <c r="S33" s="2" t="s">
        <v>1</v>
      </c>
      <c r="T33" s="2"/>
      <c r="U33" s="2" t="s">
        <v>3</v>
      </c>
      <c r="V33" s="2"/>
      <c r="W33" s="3" t="s">
        <v>1</v>
      </c>
      <c r="X33" s="3"/>
      <c r="Y33" s="3" t="s">
        <v>3</v>
      </c>
      <c r="Z33" s="3"/>
      <c r="AA33" s="4" t="s">
        <v>1</v>
      </c>
      <c r="AB33" s="4"/>
      <c r="AC33" s="4" t="s">
        <v>3</v>
      </c>
      <c r="AD33" s="4"/>
      <c r="AE33" s="5" t="s">
        <v>1</v>
      </c>
      <c r="AF33" s="5"/>
      <c r="AG33" s="5" t="s">
        <v>3</v>
      </c>
      <c r="AH33" s="5"/>
      <c r="AI33" s="2" t="s">
        <v>1</v>
      </c>
      <c r="AJ33" s="2"/>
      <c r="AK33" s="2" t="s">
        <v>3</v>
      </c>
      <c r="AL33" s="2"/>
      <c r="AM33" s="3" t="s">
        <v>1</v>
      </c>
      <c r="AN33" s="3"/>
      <c r="AO33" s="3" t="s">
        <v>3</v>
      </c>
      <c r="AP33" s="3"/>
      <c r="AQ33" s="4" t="s">
        <v>1</v>
      </c>
      <c r="AR33" s="4"/>
      <c r="AS33" s="4" t="s">
        <v>3</v>
      </c>
      <c r="AT33" s="4"/>
      <c r="AU33" s="5" t="s">
        <v>1</v>
      </c>
      <c r="AV33" s="5"/>
      <c r="AW33" s="5" t="s">
        <v>3</v>
      </c>
      <c r="AX33" s="5"/>
      <c r="AY33" s="2" t="s">
        <v>1</v>
      </c>
      <c r="AZ33" s="2"/>
      <c r="BA33" s="2" t="s">
        <v>3</v>
      </c>
      <c r="BB33" s="2"/>
      <c r="BC33" s="3" t="s">
        <v>1</v>
      </c>
      <c r="BD33" s="3"/>
      <c r="BE33" s="3" t="s">
        <v>3</v>
      </c>
      <c r="BF33" s="3"/>
    </row>
    <row r="34" spans="1:58">
      <c r="A34" s="1"/>
      <c r="B34" s="1"/>
      <c r="C34" s="8"/>
      <c r="D34" s="8"/>
      <c r="E34" s="6">
        <v>0.96412200000000003</v>
      </c>
      <c r="F34" s="6"/>
      <c r="G34" s="8"/>
      <c r="H34" s="8"/>
      <c r="I34" s="6">
        <v>0.96609299999999998</v>
      </c>
      <c r="J34" s="6"/>
      <c r="K34" s="8"/>
      <c r="L34" s="8"/>
      <c r="M34" s="6">
        <v>0.96799900000000005</v>
      </c>
      <c r="N34" s="6"/>
      <c r="O34" s="8"/>
      <c r="P34" s="8"/>
      <c r="Q34" s="6">
        <v>0.969835</v>
      </c>
      <c r="R34" s="6"/>
      <c r="S34" s="9"/>
      <c r="T34" s="9"/>
      <c r="U34" s="6">
        <v>0.97155999999999998</v>
      </c>
      <c r="V34" s="6"/>
      <c r="W34" s="9"/>
      <c r="X34" s="9"/>
      <c r="Y34" s="6">
        <v>0.973167</v>
      </c>
      <c r="Z34" s="6"/>
      <c r="AA34" s="9"/>
      <c r="AB34" s="9"/>
      <c r="AC34" s="6">
        <v>0.97467099999999995</v>
      </c>
      <c r="AD34" s="6"/>
      <c r="AE34" s="9"/>
      <c r="AF34" s="9"/>
      <c r="AG34" s="6">
        <v>0.97605200000000003</v>
      </c>
      <c r="AH34" s="6"/>
      <c r="AI34" s="8"/>
      <c r="AJ34" s="8"/>
      <c r="AK34" s="6">
        <v>0.97733000000000003</v>
      </c>
      <c r="AL34" s="6"/>
      <c r="AM34" s="8"/>
      <c r="AN34" s="8"/>
      <c r="AO34" s="6">
        <v>0.97849799999999998</v>
      </c>
      <c r="AP34" s="6"/>
      <c r="AQ34" s="8"/>
      <c r="AR34" s="8"/>
      <c r="AS34" s="6">
        <v>0.97958199999999995</v>
      </c>
      <c r="AT34" s="6"/>
      <c r="AU34" s="8"/>
      <c r="AV34" s="8"/>
      <c r="AW34" s="6">
        <v>0.980568</v>
      </c>
      <c r="AX34" s="6"/>
      <c r="AY34" s="8"/>
      <c r="AZ34" s="8"/>
      <c r="BA34" s="6">
        <v>0.98147300000000004</v>
      </c>
      <c r="BB34" s="6"/>
      <c r="BC34" s="8"/>
      <c r="BD34" s="8"/>
      <c r="BE34" s="6">
        <v>0.98230700000000004</v>
      </c>
      <c r="BF34" s="6"/>
    </row>
    <row r="35" spans="1:5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</row>
    <row r="36" spans="1:58">
      <c r="A36" s="1" t="s">
        <v>10</v>
      </c>
      <c r="B36" s="1"/>
      <c r="C36" s="2" t="s">
        <v>1</v>
      </c>
      <c r="D36" s="2"/>
      <c r="E36" s="2" t="s">
        <v>2</v>
      </c>
      <c r="F36" s="2"/>
      <c r="G36" s="3" t="s">
        <v>1</v>
      </c>
      <c r="H36" s="3"/>
      <c r="I36" s="3" t="s">
        <v>2</v>
      </c>
      <c r="J36" s="3"/>
      <c r="K36" s="4" t="s">
        <v>1</v>
      </c>
      <c r="L36" s="4"/>
      <c r="M36" s="4" t="s">
        <v>2</v>
      </c>
      <c r="N36" s="4"/>
      <c r="O36" s="5" t="s">
        <v>1</v>
      </c>
      <c r="P36" s="5"/>
      <c r="Q36" s="5" t="s">
        <v>2</v>
      </c>
      <c r="R36" s="5"/>
      <c r="S36" s="2" t="s">
        <v>1</v>
      </c>
      <c r="T36" s="2"/>
      <c r="U36" s="2" t="s">
        <v>2</v>
      </c>
      <c r="V36" s="2"/>
      <c r="W36" s="3" t="s">
        <v>1</v>
      </c>
      <c r="X36" s="3"/>
      <c r="Y36" s="3" t="s">
        <v>2</v>
      </c>
      <c r="Z36" s="3"/>
      <c r="AA36" s="4" t="s">
        <v>1</v>
      </c>
      <c r="AB36" s="4"/>
      <c r="AC36" s="4" t="s">
        <v>2</v>
      </c>
      <c r="AD36" s="4"/>
      <c r="AE36" s="5" t="s">
        <v>1</v>
      </c>
      <c r="AF36" s="5"/>
      <c r="AG36" s="5" t="s">
        <v>2</v>
      </c>
      <c r="AH36" s="5"/>
      <c r="AI36" s="2" t="s">
        <v>1</v>
      </c>
      <c r="AJ36" s="2"/>
      <c r="AK36" s="2" t="s">
        <v>2</v>
      </c>
      <c r="AL36" s="2"/>
      <c r="AM36" s="3" t="s">
        <v>1</v>
      </c>
      <c r="AN36" s="3"/>
      <c r="AO36" s="3" t="s">
        <v>2</v>
      </c>
      <c r="AP36" s="3"/>
      <c r="AQ36" s="4" t="s">
        <v>1</v>
      </c>
      <c r="AR36" s="4"/>
      <c r="AS36" s="4" t="s">
        <v>2</v>
      </c>
      <c r="AT36" s="4"/>
      <c r="AU36" s="5" t="s">
        <v>1</v>
      </c>
      <c r="AV36" s="5"/>
      <c r="AW36" s="5" t="s">
        <v>2</v>
      </c>
      <c r="AX36" s="5"/>
      <c r="AY36" s="2" t="s">
        <v>1</v>
      </c>
      <c r="AZ36" s="2"/>
      <c r="BA36" s="2" t="s">
        <v>2</v>
      </c>
      <c r="BB36" s="2"/>
      <c r="BC36" s="3" t="s">
        <v>1</v>
      </c>
      <c r="BD36" s="3"/>
      <c r="BE36" s="3" t="s">
        <v>2</v>
      </c>
      <c r="BF36" s="3"/>
    </row>
    <row r="37" spans="1:58">
      <c r="A37" s="1"/>
      <c r="B37" s="1"/>
      <c r="C37" s="6">
        <f>AVERAGE(C2,C7,C12,C17,C22,C27,C32)</f>
        <v>2.4325571428571429E-2</v>
      </c>
      <c r="D37" s="6"/>
      <c r="E37" s="6">
        <f>AVERAGE(E2,E7,E12,E17,E22,E27,E32)</f>
        <v>35.788393571428571</v>
      </c>
      <c r="F37" s="6"/>
      <c r="G37" s="6">
        <f>AVERAGE(G2,G7,G12,G17,G22,G27,G32)</f>
        <v>2.5996000000000002E-2</v>
      </c>
      <c r="H37" s="6"/>
      <c r="I37" s="6">
        <f>AVERAGE(I2,I7,I12,I17,I22,I27,I32)</f>
        <v>35.968477428571425</v>
      </c>
      <c r="J37" s="6"/>
      <c r="K37" s="6">
        <f>AVERAGE(K2,K7,K12,K17,K22,K27,K32)</f>
        <v>2.7822571428571426E-2</v>
      </c>
      <c r="L37" s="6"/>
      <c r="M37" s="6">
        <f>AVERAGE(M2,M7,M12,M17,M22,M27,M32)</f>
        <v>36.147860000000001</v>
      </c>
      <c r="N37" s="6"/>
      <c r="O37" s="6">
        <f>AVERAGE(O2,O7,O12,O17,O22,O27,O32)</f>
        <v>2.9805714285714286E-2</v>
      </c>
      <c r="P37" s="6"/>
      <c r="Q37" s="6">
        <f>AVERAGE(Q2,Q7,Q12,Q17,Q22,Q27,Q32)</f>
        <v>36.32546128571429</v>
      </c>
      <c r="R37" s="6"/>
      <c r="S37" s="6">
        <f>AVERAGE(S2,S7,S12,S17,S22,S27,S32)</f>
        <v>3.1945285714285718E-2</v>
      </c>
      <c r="T37" s="6"/>
      <c r="U37" s="6">
        <f>AVERAGE(U2,U7,U12,U17,U22,U27,U32)</f>
        <v>36.501269571428573</v>
      </c>
      <c r="V37" s="6"/>
      <c r="W37" s="6">
        <f>AVERAGE(W2,W7,W12,W17,W22,W27,W32)</f>
        <v>3.4248142857142852E-2</v>
      </c>
      <c r="X37" s="6"/>
      <c r="Y37" s="6">
        <f>AVERAGE(Y2,Y7,Y12,Y17,Y22,Y27,Y32)</f>
        <v>36.673475571428575</v>
      </c>
      <c r="Z37" s="6"/>
      <c r="AA37" s="6">
        <f>AVERAGE(AA2,AA7,AA12,AA17,AA22,AA27,AA32)</f>
        <v>3.6720999999999997E-2</v>
      </c>
      <c r="AB37" s="6"/>
      <c r="AC37" s="6">
        <f>AVERAGE(AC2,AC7,AC12,AC17,AC22,AC27,AC32)</f>
        <v>36.841662428571418</v>
      </c>
      <c r="AD37" s="6"/>
      <c r="AE37" s="6">
        <f>AVERAGE(AE2,AE7,AE12,AE17,AE22,AE27,AE32)</f>
        <v>3.9385714285714288E-2</v>
      </c>
      <c r="AF37" s="6"/>
      <c r="AG37" s="6">
        <f>AVERAGE(AG2,AG7,AG12,AG17,AG22,AG27,AG32)</f>
        <v>37.005017714285714</v>
      </c>
      <c r="AH37" s="6"/>
      <c r="AI37" s="6">
        <f>AVERAGE(AI2,AI7,AI12,AI17,AI22,AI27,AI32)</f>
        <v>4.2236285714285719E-2</v>
      </c>
      <c r="AJ37" s="6"/>
      <c r="AK37" s="6">
        <f>AVERAGE(AK2,AK7,AK12,AK17,AK22,AK27,AK32)</f>
        <v>37.16332071428571</v>
      </c>
      <c r="AL37" s="6"/>
      <c r="AM37" s="6">
        <f>AVERAGE(AM2,AM7,AM12,AM17,AM22,AM27,AM32)</f>
        <v>4.5288142857142853E-2</v>
      </c>
      <c r="AN37" s="6"/>
      <c r="AO37" s="6">
        <f>AVERAGE(AO2,AO7,AO12,AO17,AO22,AO27,AO32)</f>
        <v>37.314938142857144</v>
      </c>
      <c r="AP37" s="6"/>
      <c r="AQ37" s="6">
        <f>AVERAGE(AQ2,AQ7,AQ12,AQ17,AQ22,AQ27,AQ32)</f>
        <v>4.8580000000000005E-2</v>
      </c>
      <c r="AR37" s="6"/>
      <c r="AS37" s="6">
        <f>AVERAGE(AS2,AS7,AS12,AS17,AS22,AS27,AS32)</f>
        <v>37.462768285714283</v>
      </c>
      <c r="AT37" s="6"/>
      <c r="AU37" s="10">
        <f>AVERAGE(AU2,AU7,AU12,AU17,AU22,AU27,AU32)</f>
        <v>5.2114000000000008E-2</v>
      </c>
      <c r="AV37" s="10"/>
      <c r="AW37" s="6">
        <f>AVERAGE(AW2,AW7,AW12,AW17,AW22,AW27,AW32)</f>
        <v>37.606854999999996</v>
      </c>
      <c r="AX37" s="6"/>
      <c r="AY37" s="6">
        <f>AVERAGE(AY2,AY7,AY12,AY17,AY22,AY27,AY32)</f>
        <v>5.5955999999999999E-2</v>
      </c>
      <c r="AZ37" s="6"/>
      <c r="BA37" s="6">
        <f>AVERAGE(BA2,BA7,BA12,BA17,BA22,BA27,BA32)</f>
        <v>37.747609714285716</v>
      </c>
      <c r="BB37" s="6"/>
      <c r="BC37" s="6">
        <f>AVERAGE(BC2,BC7,BC12,BC17,BC22,BC27,BC32)</f>
        <v>6.0219571428571428E-2</v>
      </c>
      <c r="BD37" s="6"/>
      <c r="BE37" s="6">
        <f>AVERAGE(BE2,BE7,BE12,BE17,BE22,BE27,BE32)</f>
        <v>37.886221285714285</v>
      </c>
      <c r="BF37" s="6"/>
    </row>
    <row r="38" spans="1:58">
      <c r="A38" s="1"/>
      <c r="B38" s="1"/>
      <c r="C38" s="2" t="s">
        <v>1</v>
      </c>
      <c r="D38" s="2"/>
      <c r="E38" s="2" t="s">
        <v>3</v>
      </c>
      <c r="F38" s="2"/>
      <c r="G38" s="3" t="s">
        <v>1</v>
      </c>
      <c r="H38" s="3"/>
      <c r="I38" s="3" t="s">
        <v>3</v>
      </c>
      <c r="J38" s="3"/>
      <c r="K38" s="4" t="s">
        <v>1</v>
      </c>
      <c r="L38" s="4"/>
      <c r="M38" s="4" t="s">
        <v>3</v>
      </c>
      <c r="N38" s="4"/>
      <c r="O38" s="5" t="s">
        <v>1</v>
      </c>
      <c r="P38" s="5"/>
      <c r="Q38" s="5" t="s">
        <v>3</v>
      </c>
      <c r="R38" s="5"/>
      <c r="S38" s="2" t="s">
        <v>1</v>
      </c>
      <c r="T38" s="2"/>
      <c r="U38" s="2" t="s">
        <v>3</v>
      </c>
      <c r="V38" s="2"/>
      <c r="W38" s="3" t="s">
        <v>1</v>
      </c>
      <c r="X38" s="3"/>
      <c r="Y38" s="3" t="s">
        <v>3</v>
      </c>
      <c r="Z38" s="3"/>
      <c r="AA38" s="4" t="s">
        <v>1</v>
      </c>
      <c r="AB38" s="4"/>
      <c r="AC38" s="4" t="s">
        <v>3</v>
      </c>
      <c r="AD38" s="4"/>
      <c r="AE38" s="5" t="s">
        <v>1</v>
      </c>
      <c r="AF38" s="5"/>
      <c r="AG38" s="5" t="s">
        <v>3</v>
      </c>
      <c r="AH38" s="5"/>
      <c r="AI38" s="2" t="s">
        <v>1</v>
      </c>
      <c r="AJ38" s="2"/>
      <c r="AK38" s="2" t="s">
        <v>3</v>
      </c>
      <c r="AL38" s="2"/>
      <c r="AM38" s="3" t="s">
        <v>1</v>
      </c>
      <c r="AN38" s="3"/>
      <c r="AO38" s="3" t="s">
        <v>3</v>
      </c>
      <c r="AP38" s="3"/>
      <c r="AQ38" s="4" t="s">
        <v>1</v>
      </c>
      <c r="AR38" s="4"/>
      <c r="AS38" s="4" t="s">
        <v>3</v>
      </c>
      <c r="AT38" s="4"/>
      <c r="AU38" s="5" t="s">
        <v>1</v>
      </c>
      <c r="AV38" s="5"/>
      <c r="AW38" s="5" t="s">
        <v>3</v>
      </c>
      <c r="AX38" s="5"/>
      <c r="AY38" s="2" t="s">
        <v>1</v>
      </c>
      <c r="AZ38" s="2"/>
      <c r="BA38" s="2" t="s">
        <v>3</v>
      </c>
      <c r="BB38" s="2"/>
      <c r="BC38" s="3" t="s">
        <v>1</v>
      </c>
      <c r="BD38" s="3"/>
      <c r="BE38" s="3" t="s">
        <v>3</v>
      </c>
      <c r="BF38" s="3"/>
    </row>
    <row r="39" spans="1:58">
      <c r="A39" s="1"/>
      <c r="B39" s="1"/>
      <c r="C39" s="8"/>
      <c r="D39" s="8"/>
      <c r="E39" s="6">
        <f>AVERAGE(E4,E9,E14,E19,E24,E29,E34)</f>
        <v>0.95676357142857138</v>
      </c>
      <c r="F39" s="6"/>
      <c r="G39" s="11"/>
      <c r="H39" s="11"/>
      <c r="I39" s="6">
        <f>AVERAGE(I4,I9,I14,I19,I24,I29,I34)</f>
        <v>0.95806771428571424</v>
      </c>
      <c r="J39" s="6"/>
      <c r="K39" s="11"/>
      <c r="L39" s="11"/>
      <c r="M39" s="6">
        <f>AVERAGE(M4,M9,M14,M19,M24,M29,M34)</f>
        <v>0.95932999999999991</v>
      </c>
      <c r="N39" s="6"/>
      <c r="O39" s="11"/>
      <c r="P39" s="11"/>
      <c r="Q39" s="6">
        <f>AVERAGE(Q4,Q9,Q14,Q19,Q24,Q29,Q34)</f>
        <v>0.96052414285714272</v>
      </c>
      <c r="R39" s="6"/>
      <c r="S39" s="11"/>
      <c r="T39" s="11"/>
      <c r="U39" s="6">
        <f>AVERAGE(U4,U9,U14,U19,U24,U29,U34)</f>
        <v>0.96166971428571435</v>
      </c>
      <c r="V39" s="6"/>
      <c r="W39" s="11"/>
      <c r="X39" s="11"/>
      <c r="Y39" s="6">
        <f>AVERAGE(Y4,Y9,Y14,Y19,Y24,Y29,Y34)</f>
        <v>0.96274671428571423</v>
      </c>
      <c r="Z39" s="6"/>
      <c r="AA39" s="11"/>
      <c r="AB39" s="11"/>
      <c r="AC39" s="6">
        <f>AVERAGE(AC4,AC9,AC14,AC19,AC24,AC29,AC34)</f>
        <v>0.96375642857142851</v>
      </c>
      <c r="AD39" s="6"/>
      <c r="AE39" s="11"/>
      <c r="AF39" s="11"/>
      <c r="AG39" s="6">
        <f>AVERAGE(AG4,AG9,AG14,AG19,AG24,AG29,AG34)</f>
        <v>0.96469742857142859</v>
      </c>
      <c r="AH39" s="6"/>
      <c r="AI39" s="11"/>
      <c r="AJ39" s="11"/>
      <c r="AK39" s="6">
        <f>AVERAGE(AK4,AK9,AK14,AK19,AK24,AK29,AK34)</f>
        <v>0.96558185714285727</v>
      </c>
      <c r="AL39" s="6"/>
      <c r="AM39" s="11"/>
      <c r="AN39" s="11"/>
      <c r="AO39" s="6">
        <f>AVERAGE(AO4,AO9,AO14,AO19,AO24,AO29,AO34)</f>
        <v>0.96640385714285715</v>
      </c>
      <c r="AP39" s="6"/>
      <c r="AQ39" s="11"/>
      <c r="AR39" s="11"/>
      <c r="AS39" s="6">
        <f>AVERAGE(AS4,AS9,AS14,AS19,AS24,AS29,AS34)</f>
        <v>0.96718114285714285</v>
      </c>
      <c r="AT39" s="6"/>
      <c r="AU39" s="11"/>
      <c r="AV39" s="11"/>
      <c r="AW39" s="6">
        <f>AVERAGE(AW4,AW9,AW14,AW19,AW24,AW29,AW34)</f>
        <v>0.9679172857142857</v>
      </c>
      <c r="AX39" s="6"/>
      <c r="AY39" s="11"/>
      <c r="AZ39" s="11"/>
      <c r="BA39" s="6">
        <f>AVERAGE(BA4,BA9,BA14,BA19,BA24,BA29,BA34)</f>
        <v>0.96862957142857165</v>
      </c>
      <c r="BB39" s="6"/>
      <c r="BC39" s="11"/>
      <c r="BD39" s="11"/>
      <c r="BE39" s="6">
        <f>AVERAGE(BE4,BE9,BE14,BE19,BE24,BE29,BE34)</f>
        <v>0.96935157142857142</v>
      </c>
      <c r="BF39" s="6"/>
    </row>
  </sheetData>
  <mergeCells count="864">
    <mergeCell ref="AS39:AT39"/>
    <mergeCell ref="AW39:AX39"/>
    <mergeCell ref="BA39:BB39"/>
    <mergeCell ref="BE39:BF39"/>
    <mergeCell ref="U39:V39"/>
    <mergeCell ref="Y39:Z39"/>
    <mergeCell ref="AC39:AD39"/>
    <mergeCell ref="AG39:AH39"/>
    <mergeCell ref="AK39:AL39"/>
    <mergeCell ref="AO39:AP39"/>
    <mergeCell ref="AW38:AX38"/>
    <mergeCell ref="AY38:AZ38"/>
    <mergeCell ref="BA38:BB38"/>
    <mergeCell ref="BC38:BD38"/>
    <mergeCell ref="BE38:BF38"/>
    <mergeCell ref="C39:D39"/>
    <mergeCell ref="E39:F39"/>
    <mergeCell ref="I39:J39"/>
    <mergeCell ref="M39:N39"/>
    <mergeCell ref="Q39:R39"/>
    <mergeCell ref="AK38:AL38"/>
    <mergeCell ref="AM38:AN38"/>
    <mergeCell ref="AO38:AP38"/>
    <mergeCell ref="AQ38:AR38"/>
    <mergeCell ref="AS38:AT38"/>
    <mergeCell ref="AU38:AV38"/>
    <mergeCell ref="Y38:Z38"/>
    <mergeCell ref="AA38:AB38"/>
    <mergeCell ref="AC38:AD38"/>
    <mergeCell ref="AE38:AF38"/>
    <mergeCell ref="AG38:AH38"/>
    <mergeCell ref="AI38:AJ38"/>
    <mergeCell ref="M38:N38"/>
    <mergeCell ref="O38:P38"/>
    <mergeCell ref="Q38:R38"/>
    <mergeCell ref="S38:T38"/>
    <mergeCell ref="U38:V38"/>
    <mergeCell ref="W38:X38"/>
    <mergeCell ref="AW37:AX37"/>
    <mergeCell ref="AY37:AZ37"/>
    <mergeCell ref="BA37:BB37"/>
    <mergeCell ref="BC37:BD37"/>
    <mergeCell ref="BE37:BF37"/>
    <mergeCell ref="C38:D38"/>
    <mergeCell ref="E38:F38"/>
    <mergeCell ref="G38:H38"/>
    <mergeCell ref="I38:J38"/>
    <mergeCell ref="K38:L38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C37:AD37"/>
    <mergeCell ref="AE37:AF37"/>
    <mergeCell ref="AG37:AH37"/>
    <mergeCell ref="AI37:AJ37"/>
    <mergeCell ref="M37:N37"/>
    <mergeCell ref="O37:P37"/>
    <mergeCell ref="Q37:R37"/>
    <mergeCell ref="S37:T37"/>
    <mergeCell ref="U37:V37"/>
    <mergeCell ref="W37:X37"/>
    <mergeCell ref="AW36:AX36"/>
    <mergeCell ref="AY36:AZ36"/>
    <mergeCell ref="BA36:BB36"/>
    <mergeCell ref="BC36:BD36"/>
    <mergeCell ref="BE36:BF36"/>
    <mergeCell ref="C37:D37"/>
    <mergeCell ref="E37:F37"/>
    <mergeCell ref="G37:H37"/>
    <mergeCell ref="I37:J37"/>
    <mergeCell ref="K37:L37"/>
    <mergeCell ref="AK36:AL36"/>
    <mergeCell ref="AM36:AN36"/>
    <mergeCell ref="AO36:AP36"/>
    <mergeCell ref="AQ36:AR36"/>
    <mergeCell ref="AS36:AT36"/>
    <mergeCell ref="AU36:AV36"/>
    <mergeCell ref="Y36:Z36"/>
    <mergeCell ref="AA36:AB36"/>
    <mergeCell ref="AC36:AD36"/>
    <mergeCell ref="AE36:AF36"/>
    <mergeCell ref="AG36:AH36"/>
    <mergeCell ref="AI36:AJ36"/>
    <mergeCell ref="M36:N36"/>
    <mergeCell ref="O36:P36"/>
    <mergeCell ref="Q36:R36"/>
    <mergeCell ref="S36:T36"/>
    <mergeCell ref="U36:V36"/>
    <mergeCell ref="W36:X36"/>
    <mergeCell ref="AY34:AZ34"/>
    <mergeCell ref="BA34:BB34"/>
    <mergeCell ref="BC34:BD34"/>
    <mergeCell ref="BE34:BF34"/>
    <mergeCell ref="A36:B39"/>
    <mergeCell ref="C36:D36"/>
    <mergeCell ref="E36:F36"/>
    <mergeCell ref="G36:H36"/>
    <mergeCell ref="I36:J36"/>
    <mergeCell ref="K36:L36"/>
    <mergeCell ref="AM34:AN34"/>
    <mergeCell ref="AO34:AP34"/>
    <mergeCell ref="AQ34:AR34"/>
    <mergeCell ref="AS34:AT34"/>
    <mergeCell ref="AU34:AV34"/>
    <mergeCell ref="AW34:AX34"/>
    <mergeCell ref="U34:V34"/>
    <mergeCell ref="Y34:Z34"/>
    <mergeCell ref="AC34:AD34"/>
    <mergeCell ref="AG34:AH34"/>
    <mergeCell ref="AI34:AJ34"/>
    <mergeCell ref="AK34:AL34"/>
    <mergeCell ref="BC33:BD33"/>
    <mergeCell ref="BE33:BF33"/>
    <mergeCell ref="C34:D34"/>
    <mergeCell ref="E34:F34"/>
    <mergeCell ref="G34:H34"/>
    <mergeCell ref="I34:J34"/>
    <mergeCell ref="K34:L34"/>
    <mergeCell ref="M34:N34"/>
    <mergeCell ref="O34:P34"/>
    <mergeCell ref="Q34:R34"/>
    <mergeCell ref="AQ33:AR33"/>
    <mergeCell ref="AS33:AT33"/>
    <mergeCell ref="AU33:AV33"/>
    <mergeCell ref="AW33:AX33"/>
    <mergeCell ref="AY33:AZ33"/>
    <mergeCell ref="BA33:BB33"/>
    <mergeCell ref="AE33:AF33"/>
    <mergeCell ref="AG33:AH33"/>
    <mergeCell ref="AI33:AJ33"/>
    <mergeCell ref="AK33:AL33"/>
    <mergeCell ref="AM33:AN33"/>
    <mergeCell ref="AO33:AP33"/>
    <mergeCell ref="S33:T33"/>
    <mergeCell ref="U33:V33"/>
    <mergeCell ref="W33:X33"/>
    <mergeCell ref="Y33:Z33"/>
    <mergeCell ref="AA33:AB33"/>
    <mergeCell ref="AC33:AD33"/>
    <mergeCell ref="BC32:BD32"/>
    <mergeCell ref="BE32:BF32"/>
    <mergeCell ref="C33:D33"/>
    <mergeCell ref="E33:F33"/>
    <mergeCell ref="G33:H33"/>
    <mergeCell ref="I33:J33"/>
    <mergeCell ref="K33:L33"/>
    <mergeCell ref="M33:N33"/>
    <mergeCell ref="O33:P33"/>
    <mergeCell ref="Q33:R33"/>
    <mergeCell ref="AQ32:AR32"/>
    <mergeCell ref="AS32:AT32"/>
    <mergeCell ref="AU32:AV32"/>
    <mergeCell ref="AW32:AX32"/>
    <mergeCell ref="AY32:AZ32"/>
    <mergeCell ref="BA32:BB32"/>
    <mergeCell ref="AE32:AF32"/>
    <mergeCell ref="AG32:AH32"/>
    <mergeCell ref="AI32:AJ32"/>
    <mergeCell ref="AK32:AL32"/>
    <mergeCell ref="AM32:AN32"/>
    <mergeCell ref="AO32:AP32"/>
    <mergeCell ref="S32:T32"/>
    <mergeCell ref="U32:V32"/>
    <mergeCell ref="W32:X32"/>
    <mergeCell ref="Y32:Z32"/>
    <mergeCell ref="AA32:AB32"/>
    <mergeCell ref="AC32:AD32"/>
    <mergeCell ref="BC31:BD31"/>
    <mergeCell ref="BE31:BF31"/>
    <mergeCell ref="C32:D32"/>
    <mergeCell ref="E32:F32"/>
    <mergeCell ref="G32:H32"/>
    <mergeCell ref="I32:J32"/>
    <mergeCell ref="K32:L32"/>
    <mergeCell ref="M32:N32"/>
    <mergeCell ref="O32:P32"/>
    <mergeCell ref="Q32:R32"/>
    <mergeCell ref="AQ31:AR31"/>
    <mergeCell ref="AS31:AT31"/>
    <mergeCell ref="AU31:AV31"/>
    <mergeCell ref="AW31:AX31"/>
    <mergeCell ref="AY31:AZ31"/>
    <mergeCell ref="BA31:BB31"/>
    <mergeCell ref="AE31:AF31"/>
    <mergeCell ref="AG31:AH31"/>
    <mergeCell ref="AI31:AJ31"/>
    <mergeCell ref="AK31:AL31"/>
    <mergeCell ref="AM31:AN31"/>
    <mergeCell ref="AO31:AP31"/>
    <mergeCell ref="S31:T31"/>
    <mergeCell ref="U31:V31"/>
    <mergeCell ref="W31:X31"/>
    <mergeCell ref="Y31:Z31"/>
    <mergeCell ref="AA31:AB31"/>
    <mergeCell ref="AC31:AD31"/>
    <mergeCell ref="BE29:BF29"/>
    <mergeCell ref="A31:B34"/>
    <mergeCell ref="C31:D31"/>
    <mergeCell ref="E31:F31"/>
    <mergeCell ref="G31:H31"/>
    <mergeCell ref="I31:J31"/>
    <mergeCell ref="K31:L31"/>
    <mergeCell ref="M31:N31"/>
    <mergeCell ref="O31:P31"/>
    <mergeCell ref="Q31:R31"/>
    <mergeCell ref="AS29:AT29"/>
    <mergeCell ref="AU29:AV29"/>
    <mergeCell ref="AW29:AX29"/>
    <mergeCell ref="AY29:AZ29"/>
    <mergeCell ref="BA29:BB29"/>
    <mergeCell ref="BC29:BD29"/>
    <mergeCell ref="AG29:AH29"/>
    <mergeCell ref="AI29:AJ29"/>
    <mergeCell ref="AK29:AL29"/>
    <mergeCell ref="AM29:AN29"/>
    <mergeCell ref="AO29:AP29"/>
    <mergeCell ref="AQ29:AR29"/>
    <mergeCell ref="M29:N29"/>
    <mergeCell ref="O29:P29"/>
    <mergeCell ref="Q29:R29"/>
    <mergeCell ref="U29:V29"/>
    <mergeCell ref="Y29:Z29"/>
    <mergeCell ref="AC29:AD29"/>
    <mergeCell ref="AW28:AX28"/>
    <mergeCell ref="AY28:AZ28"/>
    <mergeCell ref="BA28:BB28"/>
    <mergeCell ref="BC28:BD28"/>
    <mergeCell ref="BE28:BF28"/>
    <mergeCell ref="C29:D29"/>
    <mergeCell ref="E29:F29"/>
    <mergeCell ref="G29:H29"/>
    <mergeCell ref="I29:J29"/>
    <mergeCell ref="K29:L29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7:AX27"/>
    <mergeCell ref="AY27:AZ27"/>
    <mergeCell ref="BA27:BB27"/>
    <mergeCell ref="BC27:BD27"/>
    <mergeCell ref="BE27:BF27"/>
    <mergeCell ref="C28:D28"/>
    <mergeCell ref="E28:F28"/>
    <mergeCell ref="G28:H28"/>
    <mergeCell ref="I28:J28"/>
    <mergeCell ref="K28:L28"/>
    <mergeCell ref="AK27:AL27"/>
    <mergeCell ref="AM27:AN27"/>
    <mergeCell ref="AO27:AP27"/>
    <mergeCell ref="AQ27:AR27"/>
    <mergeCell ref="AS27:AT27"/>
    <mergeCell ref="AU27:AV27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Q27:R27"/>
    <mergeCell ref="S27:T27"/>
    <mergeCell ref="U27:V27"/>
    <mergeCell ref="W27:X27"/>
    <mergeCell ref="AW26:AX26"/>
    <mergeCell ref="AY26:AZ26"/>
    <mergeCell ref="BA26:BB26"/>
    <mergeCell ref="BC26:BD26"/>
    <mergeCell ref="BE26:BF26"/>
    <mergeCell ref="C27:D27"/>
    <mergeCell ref="E27:F27"/>
    <mergeCell ref="G27:H27"/>
    <mergeCell ref="I27:J27"/>
    <mergeCell ref="K27:L27"/>
    <mergeCell ref="AK26:AL26"/>
    <mergeCell ref="AM26:AN26"/>
    <mergeCell ref="AO26:AP26"/>
    <mergeCell ref="AQ26:AR26"/>
    <mergeCell ref="AS26:AT26"/>
    <mergeCell ref="AU26:AV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Y24:AZ24"/>
    <mergeCell ref="BA24:BB24"/>
    <mergeCell ref="BC24:BD24"/>
    <mergeCell ref="BE24:BF24"/>
    <mergeCell ref="A26:B29"/>
    <mergeCell ref="C26:D26"/>
    <mergeCell ref="E26:F26"/>
    <mergeCell ref="G26:H26"/>
    <mergeCell ref="I26:J26"/>
    <mergeCell ref="K26:L26"/>
    <mergeCell ref="AM24:AN24"/>
    <mergeCell ref="AO24:AP24"/>
    <mergeCell ref="AQ24:AR24"/>
    <mergeCell ref="AS24:AT24"/>
    <mergeCell ref="AU24:AV24"/>
    <mergeCell ref="AW24:AX24"/>
    <mergeCell ref="U24:V24"/>
    <mergeCell ref="Y24:Z24"/>
    <mergeCell ref="AC24:AD24"/>
    <mergeCell ref="AG24:AH24"/>
    <mergeCell ref="AI24:AJ24"/>
    <mergeCell ref="AK24:AL24"/>
    <mergeCell ref="BC23:BD23"/>
    <mergeCell ref="BE23:BF23"/>
    <mergeCell ref="C24:D24"/>
    <mergeCell ref="E24:F24"/>
    <mergeCell ref="G24:H24"/>
    <mergeCell ref="I24:J24"/>
    <mergeCell ref="K24:L24"/>
    <mergeCell ref="M24:N24"/>
    <mergeCell ref="O24:P24"/>
    <mergeCell ref="Q24:R24"/>
    <mergeCell ref="AQ23:AR23"/>
    <mergeCell ref="AS23:AT23"/>
    <mergeCell ref="AU23:AV23"/>
    <mergeCell ref="AW23:AX23"/>
    <mergeCell ref="AY23:AZ23"/>
    <mergeCell ref="BA23:BB23"/>
    <mergeCell ref="AE23:AF23"/>
    <mergeCell ref="AG23:AH23"/>
    <mergeCell ref="AI23:AJ23"/>
    <mergeCell ref="AK23:AL23"/>
    <mergeCell ref="AM23:AN23"/>
    <mergeCell ref="AO23:AP23"/>
    <mergeCell ref="S23:T23"/>
    <mergeCell ref="U23:V23"/>
    <mergeCell ref="W23:X23"/>
    <mergeCell ref="Y23:Z23"/>
    <mergeCell ref="AA23:AB23"/>
    <mergeCell ref="AC23:AD23"/>
    <mergeCell ref="BC22:BD22"/>
    <mergeCell ref="BE22:BF22"/>
    <mergeCell ref="C23:D23"/>
    <mergeCell ref="E23:F23"/>
    <mergeCell ref="G23:H23"/>
    <mergeCell ref="I23:J23"/>
    <mergeCell ref="K23:L23"/>
    <mergeCell ref="M23:N23"/>
    <mergeCell ref="O23:P23"/>
    <mergeCell ref="Q23:R23"/>
    <mergeCell ref="AQ22:AR22"/>
    <mergeCell ref="AS22:AT22"/>
    <mergeCell ref="AU22:AV22"/>
    <mergeCell ref="AW22:AX22"/>
    <mergeCell ref="AY22:AZ22"/>
    <mergeCell ref="BA22:BB22"/>
    <mergeCell ref="AE22:AF22"/>
    <mergeCell ref="AG22:AH22"/>
    <mergeCell ref="AI22:AJ22"/>
    <mergeCell ref="AK22:AL22"/>
    <mergeCell ref="AM22:AN22"/>
    <mergeCell ref="AO22:AP22"/>
    <mergeCell ref="S22:T22"/>
    <mergeCell ref="U22:V22"/>
    <mergeCell ref="W22:X22"/>
    <mergeCell ref="Y22:Z22"/>
    <mergeCell ref="AA22:AB22"/>
    <mergeCell ref="AC22:AD22"/>
    <mergeCell ref="BC21:BD21"/>
    <mergeCell ref="BE21:BF21"/>
    <mergeCell ref="C22:D22"/>
    <mergeCell ref="E22:F22"/>
    <mergeCell ref="G22:H22"/>
    <mergeCell ref="I22:J22"/>
    <mergeCell ref="K22:L22"/>
    <mergeCell ref="M22:N22"/>
    <mergeCell ref="O22:P22"/>
    <mergeCell ref="Q22:R22"/>
    <mergeCell ref="AQ21:AR21"/>
    <mergeCell ref="AS21:AT21"/>
    <mergeCell ref="AU21:AV21"/>
    <mergeCell ref="AW21:AX21"/>
    <mergeCell ref="AY21:AZ21"/>
    <mergeCell ref="BA21:BB21"/>
    <mergeCell ref="AE21:AF21"/>
    <mergeCell ref="AG21:AH21"/>
    <mergeCell ref="AI21:AJ21"/>
    <mergeCell ref="AK21:AL21"/>
    <mergeCell ref="AM21:AN21"/>
    <mergeCell ref="AO21:AP21"/>
    <mergeCell ref="S21:T21"/>
    <mergeCell ref="U21:V21"/>
    <mergeCell ref="W21:X21"/>
    <mergeCell ref="Y21:Z21"/>
    <mergeCell ref="AA21:AB21"/>
    <mergeCell ref="AC21:AD21"/>
    <mergeCell ref="BE19:BF19"/>
    <mergeCell ref="A21:B24"/>
    <mergeCell ref="C21:D21"/>
    <mergeCell ref="E21:F21"/>
    <mergeCell ref="G21:H21"/>
    <mergeCell ref="I21:J21"/>
    <mergeCell ref="K21:L21"/>
    <mergeCell ref="M21:N21"/>
    <mergeCell ref="O21:P21"/>
    <mergeCell ref="Q21:R21"/>
    <mergeCell ref="AS19:AT19"/>
    <mergeCell ref="AU19:AV19"/>
    <mergeCell ref="AW19:AX19"/>
    <mergeCell ref="AY19:AZ19"/>
    <mergeCell ref="BA19:BB19"/>
    <mergeCell ref="BC19:BD19"/>
    <mergeCell ref="AG19:AH19"/>
    <mergeCell ref="AI19:AJ19"/>
    <mergeCell ref="AK19:AL19"/>
    <mergeCell ref="AM19:AN19"/>
    <mergeCell ref="AO19:AP19"/>
    <mergeCell ref="AQ19:AR19"/>
    <mergeCell ref="M19:N19"/>
    <mergeCell ref="O19:P19"/>
    <mergeCell ref="Q19:R19"/>
    <mergeCell ref="U19:V19"/>
    <mergeCell ref="Y19:Z19"/>
    <mergeCell ref="AC19:AD19"/>
    <mergeCell ref="AW18:AX18"/>
    <mergeCell ref="AY18:AZ18"/>
    <mergeCell ref="BA18:BB18"/>
    <mergeCell ref="BC18:BD18"/>
    <mergeCell ref="BE18:BF18"/>
    <mergeCell ref="C19:D19"/>
    <mergeCell ref="E19:F19"/>
    <mergeCell ref="G19:H19"/>
    <mergeCell ref="I19:J19"/>
    <mergeCell ref="K19:L19"/>
    <mergeCell ref="AK18:AL18"/>
    <mergeCell ref="AM18:AN18"/>
    <mergeCell ref="AO18:AP18"/>
    <mergeCell ref="AQ18:AR18"/>
    <mergeCell ref="AS18:AT18"/>
    <mergeCell ref="AU18:AV18"/>
    <mergeCell ref="Y18:Z18"/>
    <mergeCell ref="AA18:AB18"/>
    <mergeCell ref="AC18:AD18"/>
    <mergeCell ref="AE18:AF18"/>
    <mergeCell ref="AG18:AH18"/>
    <mergeCell ref="AI18:AJ18"/>
    <mergeCell ref="M18:N18"/>
    <mergeCell ref="O18:P18"/>
    <mergeCell ref="Q18:R18"/>
    <mergeCell ref="S18:T18"/>
    <mergeCell ref="U18:V18"/>
    <mergeCell ref="W18:X18"/>
    <mergeCell ref="AW17:AX17"/>
    <mergeCell ref="AY17:AZ17"/>
    <mergeCell ref="BA17:BB17"/>
    <mergeCell ref="BC17:BD17"/>
    <mergeCell ref="BE17:BF17"/>
    <mergeCell ref="C18:D18"/>
    <mergeCell ref="E18:F18"/>
    <mergeCell ref="G18:H18"/>
    <mergeCell ref="I18:J18"/>
    <mergeCell ref="K18:L18"/>
    <mergeCell ref="AK17:AL17"/>
    <mergeCell ref="AM17:AN17"/>
    <mergeCell ref="AO17:AP17"/>
    <mergeCell ref="AQ17:AR17"/>
    <mergeCell ref="AS17:AT17"/>
    <mergeCell ref="AU17:AV17"/>
    <mergeCell ref="Y17:Z17"/>
    <mergeCell ref="AA17:AB17"/>
    <mergeCell ref="AC17:AD17"/>
    <mergeCell ref="AE17:AF17"/>
    <mergeCell ref="AG17:AH17"/>
    <mergeCell ref="AI17:AJ17"/>
    <mergeCell ref="M17:N17"/>
    <mergeCell ref="O17:P17"/>
    <mergeCell ref="Q17:R17"/>
    <mergeCell ref="S17:T17"/>
    <mergeCell ref="U17:V17"/>
    <mergeCell ref="W17:X17"/>
    <mergeCell ref="AW16:AX16"/>
    <mergeCell ref="AY16:AZ16"/>
    <mergeCell ref="BA16:BB16"/>
    <mergeCell ref="BC16:BD16"/>
    <mergeCell ref="BE16:BF16"/>
    <mergeCell ref="C17:D17"/>
    <mergeCell ref="E17:F17"/>
    <mergeCell ref="G17:H17"/>
    <mergeCell ref="I17:J17"/>
    <mergeCell ref="K17:L17"/>
    <mergeCell ref="AK16:AL16"/>
    <mergeCell ref="AM16:AN16"/>
    <mergeCell ref="AO16:AP16"/>
    <mergeCell ref="AQ16:AR16"/>
    <mergeCell ref="AS16:AT16"/>
    <mergeCell ref="AU16:AV16"/>
    <mergeCell ref="Y16:Z16"/>
    <mergeCell ref="AA16:AB16"/>
    <mergeCell ref="AC16:AD16"/>
    <mergeCell ref="AE16:AF16"/>
    <mergeCell ref="AG16:AH16"/>
    <mergeCell ref="AI16:AJ16"/>
    <mergeCell ref="M16:N16"/>
    <mergeCell ref="O16:P16"/>
    <mergeCell ref="Q16:R16"/>
    <mergeCell ref="S16:T16"/>
    <mergeCell ref="U16:V16"/>
    <mergeCell ref="W16:X16"/>
    <mergeCell ref="A16:B19"/>
    <mergeCell ref="C16:D16"/>
    <mergeCell ref="E16:F16"/>
    <mergeCell ref="G16:H16"/>
    <mergeCell ref="I16:J16"/>
    <mergeCell ref="K16:L16"/>
    <mergeCell ref="AU14:AV14"/>
    <mergeCell ref="AW14:AX14"/>
    <mergeCell ref="AY14:AZ14"/>
    <mergeCell ref="BA14:BB14"/>
    <mergeCell ref="BC14:BD14"/>
    <mergeCell ref="BE14:BF14"/>
    <mergeCell ref="AI14:AJ14"/>
    <mergeCell ref="AK14:AL14"/>
    <mergeCell ref="AM14:AN14"/>
    <mergeCell ref="AO14:AP14"/>
    <mergeCell ref="AQ14:AR14"/>
    <mergeCell ref="AS14:AT14"/>
    <mergeCell ref="O14:P14"/>
    <mergeCell ref="Q14:R14"/>
    <mergeCell ref="U14:V14"/>
    <mergeCell ref="Y14:Z14"/>
    <mergeCell ref="AC14:AD14"/>
    <mergeCell ref="AG14:AH14"/>
    <mergeCell ref="AY13:AZ13"/>
    <mergeCell ref="BA13:BB13"/>
    <mergeCell ref="BC13:BD13"/>
    <mergeCell ref="BE13:BF13"/>
    <mergeCell ref="C14:D14"/>
    <mergeCell ref="E14:F14"/>
    <mergeCell ref="G14:H14"/>
    <mergeCell ref="I14:J14"/>
    <mergeCell ref="K14:L14"/>
    <mergeCell ref="M14:N14"/>
    <mergeCell ref="AM13:AN13"/>
    <mergeCell ref="AO13:AP13"/>
    <mergeCell ref="AQ13:AR13"/>
    <mergeCell ref="AS13:AT13"/>
    <mergeCell ref="AU13:AV13"/>
    <mergeCell ref="AW13:AX13"/>
    <mergeCell ref="AA13:AB13"/>
    <mergeCell ref="AC13:AD13"/>
    <mergeCell ref="AE13:AF13"/>
    <mergeCell ref="AG13:AH13"/>
    <mergeCell ref="AI13:AJ13"/>
    <mergeCell ref="AK13:AL13"/>
    <mergeCell ref="O13:P13"/>
    <mergeCell ref="Q13:R13"/>
    <mergeCell ref="S13:T13"/>
    <mergeCell ref="U13:V13"/>
    <mergeCell ref="W13:X13"/>
    <mergeCell ref="Y13:Z13"/>
    <mergeCell ref="AY12:AZ12"/>
    <mergeCell ref="BA12:BB12"/>
    <mergeCell ref="BC12:BD12"/>
    <mergeCell ref="BE12:BF12"/>
    <mergeCell ref="C13:D13"/>
    <mergeCell ref="E13:F13"/>
    <mergeCell ref="G13:H13"/>
    <mergeCell ref="I13:J13"/>
    <mergeCell ref="K13:L13"/>
    <mergeCell ref="M13:N13"/>
    <mergeCell ref="AM12:AN12"/>
    <mergeCell ref="AO12:AP12"/>
    <mergeCell ref="AQ12:AR12"/>
    <mergeCell ref="AS12:AT12"/>
    <mergeCell ref="AU12:AV12"/>
    <mergeCell ref="AW12:AX12"/>
    <mergeCell ref="AA12:AB12"/>
    <mergeCell ref="AC12:AD12"/>
    <mergeCell ref="AE12:AF12"/>
    <mergeCell ref="AG12:AH12"/>
    <mergeCell ref="AI12:AJ12"/>
    <mergeCell ref="AK12:AL12"/>
    <mergeCell ref="O12:P12"/>
    <mergeCell ref="Q12:R12"/>
    <mergeCell ref="S12:T12"/>
    <mergeCell ref="U12:V12"/>
    <mergeCell ref="W12:X12"/>
    <mergeCell ref="Y12:Z12"/>
    <mergeCell ref="C12:D12"/>
    <mergeCell ref="E12:F12"/>
    <mergeCell ref="G12:H12"/>
    <mergeCell ref="I12:J12"/>
    <mergeCell ref="K12:L12"/>
    <mergeCell ref="M12:N12"/>
    <mergeCell ref="AU11:AV11"/>
    <mergeCell ref="AW11:AX11"/>
    <mergeCell ref="AY11:AZ11"/>
    <mergeCell ref="BA11:BB11"/>
    <mergeCell ref="BC11:BD11"/>
    <mergeCell ref="BE11:BF11"/>
    <mergeCell ref="AI11:AJ11"/>
    <mergeCell ref="AK11:AL11"/>
    <mergeCell ref="AM11:AN11"/>
    <mergeCell ref="AO11:AP11"/>
    <mergeCell ref="AQ11:AR11"/>
    <mergeCell ref="AS11:AT11"/>
    <mergeCell ref="W11:X11"/>
    <mergeCell ref="Y11:Z11"/>
    <mergeCell ref="AA11:AB11"/>
    <mergeCell ref="AC11:AD11"/>
    <mergeCell ref="AE11:AF11"/>
    <mergeCell ref="AG11:AH11"/>
    <mergeCell ref="K11:L11"/>
    <mergeCell ref="M11:N11"/>
    <mergeCell ref="O11:P11"/>
    <mergeCell ref="Q11:R11"/>
    <mergeCell ref="S11:T11"/>
    <mergeCell ref="U11:V11"/>
    <mergeCell ref="AW9:AX9"/>
    <mergeCell ref="AY9:AZ9"/>
    <mergeCell ref="BA9:BB9"/>
    <mergeCell ref="BC9:BD9"/>
    <mergeCell ref="BE9:BF9"/>
    <mergeCell ref="A11:B14"/>
    <mergeCell ref="C11:D11"/>
    <mergeCell ref="E11:F11"/>
    <mergeCell ref="G11:H11"/>
    <mergeCell ref="I11:J11"/>
    <mergeCell ref="AK9:AL9"/>
    <mergeCell ref="AM9:AN9"/>
    <mergeCell ref="AO9:AP9"/>
    <mergeCell ref="AQ9:AR9"/>
    <mergeCell ref="AS9:AT9"/>
    <mergeCell ref="AU9:AV9"/>
    <mergeCell ref="Q9:R9"/>
    <mergeCell ref="U9:V9"/>
    <mergeCell ref="Y9:Z9"/>
    <mergeCell ref="AC9:AD9"/>
    <mergeCell ref="AG9:AH9"/>
    <mergeCell ref="AI9:AJ9"/>
    <mergeCell ref="BA8:BB8"/>
    <mergeCell ref="BC8:BD8"/>
    <mergeCell ref="BE8:BF8"/>
    <mergeCell ref="C9:D9"/>
    <mergeCell ref="E9:F9"/>
    <mergeCell ref="G9:H9"/>
    <mergeCell ref="I9:J9"/>
    <mergeCell ref="K9:L9"/>
    <mergeCell ref="M9:N9"/>
    <mergeCell ref="O9:P9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BA7:BB7"/>
    <mergeCell ref="BC7:BD7"/>
    <mergeCell ref="BE7:BF7"/>
    <mergeCell ref="C8:D8"/>
    <mergeCell ref="E8:F8"/>
    <mergeCell ref="G8:H8"/>
    <mergeCell ref="I8:J8"/>
    <mergeCell ref="K8:L8"/>
    <mergeCell ref="M8:N8"/>
    <mergeCell ref="O8:P8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7:R7"/>
    <mergeCell ref="S7:T7"/>
    <mergeCell ref="U7:V7"/>
    <mergeCell ref="W7:X7"/>
    <mergeCell ref="Y7:Z7"/>
    <mergeCell ref="AA7:AB7"/>
    <mergeCell ref="BA6:BB6"/>
    <mergeCell ref="BC6:BD6"/>
    <mergeCell ref="BE6:BF6"/>
    <mergeCell ref="C7:D7"/>
    <mergeCell ref="E7:F7"/>
    <mergeCell ref="G7:H7"/>
    <mergeCell ref="I7:J7"/>
    <mergeCell ref="K7:L7"/>
    <mergeCell ref="M7:N7"/>
    <mergeCell ref="O7:P7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6:R6"/>
    <mergeCell ref="S6:T6"/>
    <mergeCell ref="U6:V6"/>
    <mergeCell ref="W6:X6"/>
    <mergeCell ref="Y6:Z6"/>
    <mergeCell ref="AA6:AB6"/>
    <mergeCell ref="BC4:BD4"/>
    <mergeCell ref="BE4:BF4"/>
    <mergeCell ref="A6:B9"/>
    <mergeCell ref="C6:D6"/>
    <mergeCell ref="E6:F6"/>
    <mergeCell ref="G6:H6"/>
    <mergeCell ref="I6:J6"/>
    <mergeCell ref="K6:L6"/>
    <mergeCell ref="M6:N6"/>
    <mergeCell ref="O6:P6"/>
    <mergeCell ref="AQ4:AR4"/>
    <mergeCell ref="AS4:AT4"/>
    <mergeCell ref="AU4:AV4"/>
    <mergeCell ref="AW4:AX4"/>
    <mergeCell ref="AY4:AZ4"/>
    <mergeCell ref="BA4:BB4"/>
    <mergeCell ref="AC4:AD4"/>
    <mergeCell ref="AG4:AH4"/>
    <mergeCell ref="AI4:AJ4"/>
    <mergeCell ref="AK4:AL4"/>
    <mergeCell ref="AM4:AN4"/>
    <mergeCell ref="AO4:AP4"/>
    <mergeCell ref="M4:N4"/>
    <mergeCell ref="O4:P4"/>
    <mergeCell ref="Q4:R4"/>
    <mergeCell ref="S4:T4"/>
    <mergeCell ref="U4:V4"/>
    <mergeCell ref="Y4:Z4"/>
    <mergeCell ref="AW3:AX3"/>
    <mergeCell ref="AY3:AZ3"/>
    <mergeCell ref="BA3:BB3"/>
    <mergeCell ref="BC3:BD3"/>
    <mergeCell ref="BE3:BF3"/>
    <mergeCell ref="C4:D4"/>
    <mergeCell ref="E4:F4"/>
    <mergeCell ref="G4:H4"/>
    <mergeCell ref="I4:J4"/>
    <mergeCell ref="K4:L4"/>
    <mergeCell ref="AK3:AL3"/>
    <mergeCell ref="AM3:AN3"/>
    <mergeCell ref="AO3:AP3"/>
    <mergeCell ref="AQ3:AR3"/>
    <mergeCell ref="AS3:AT3"/>
    <mergeCell ref="AU3:AV3"/>
    <mergeCell ref="Y3:Z3"/>
    <mergeCell ref="AA3:AB3"/>
    <mergeCell ref="AC3:AD3"/>
    <mergeCell ref="AE3:AF3"/>
    <mergeCell ref="AG3:AH3"/>
    <mergeCell ref="AI3:AJ3"/>
    <mergeCell ref="M3:N3"/>
    <mergeCell ref="O3:P3"/>
    <mergeCell ref="Q3:R3"/>
    <mergeCell ref="S3:T3"/>
    <mergeCell ref="U3:V3"/>
    <mergeCell ref="W3:X3"/>
    <mergeCell ref="AW2:AX2"/>
    <mergeCell ref="AY2:AZ2"/>
    <mergeCell ref="BA2:BB2"/>
    <mergeCell ref="BC2:BD2"/>
    <mergeCell ref="BE2:BF2"/>
    <mergeCell ref="C3:D3"/>
    <mergeCell ref="E3:F3"/>
    <mergeCell ref="G3:H3"/>
    <mergeCell ref="I3:J3"/>
    <mergeCell ref="K3:L3"/>
    <mergeCell ref="AK2:AL2"/>
    <mergeCell ref="AM2:AN2"/>
    <mergeCell ref="AO2:AP2"/>
    <mergeCell ref="AQ2:AR2"/>
    <mergeCell ref="AS2:AT2"/>
    <mergeCell ref="AU2:AV2"/>
    <mergeCell ref="Y2:Z2"/>
    <mergeCell ref="AA2:AB2"/>
    <mergeCell ref="AC2:AD2"/>
    <mergeCell ref="AE2:AF2"/>
    <mergeCell ref="AG2:AH2"/>
    <mergeCell ref="AI2:AJ2"/>
    <mergeCell ref="M2:N2"/>
    <mergeCell ref="O2:P2"/>
    <mergeCell ref="Q2:R2"/>
    <mergeCell ref="S2:T2"/>
    <mergeCell ref="U2:V2"/>
    <mergeCell ref="W2:X2"/>
    <mergeCell ref="AW1:AX1"/>
    <mergeCell ref="AY1:AZ1"/>
    <mergeCell ref="BA1:BB1"/>
    <mergeCell ref="BC1:BD1"/>
    <mergeCell ref="BE1:BF1"/>
    <mergeCell ref="C2:D2"/>
    <mergeCell ref="E2:F2"/>
    <mergeCell ref="G2:H2"/>
    <mergeCell ref="I2:J2"/>
    <mergeCell ref="K2:L2"/>
    <mergeCell ref="AK1:AL1"/>
    <mergeCell ref="AM1:AN1"/>
    <mergeCell ref="AO1:AP1"/>
    <mergeCell ref="AQ1:AR1"/>
    <mergeCell ref="AS1:AT1"/>
    <mergeCell ref="AU1:AV1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S1:T1"/>
    <mergeCell ref="U1:V1"/>
    <mergeCell ref="W1:X1"/>
    <mergeCell ref="A1:B4"/>
    <mergeCell ref="C1:D1"/>
    <mergeCell ref="E1:F1"/>
    <mergeCell ref="G1:H1"/>
    <mergeCell ref="I1:J1"/>
    <mergeCell ref="K1:L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workbookViewId="0">
      <selection sqref="A1:V40"/>
    </sheetView>
  </sheetViews>
  <sheetFormatPr defaultRowHeight="16.5"/>
  <sheetData>
    <row r="1" spans="1:22">
      <c r="A1" s="9"/>
      <c r="B1" s="9"/>
      <c r="C1" s="1" t="s">
        <v>11</v>
      </c>
      <c r="D1" s="1"/>
      <c r="E1" s="1"/>
      <c r="F1" s="1"/>
      <c r="G1" s="1" t="s">
        <v>12</v>
      </c>
      <c r="H1" s="1"/>
      <c r="I1" s="1"/>
      <c r="J1" s="1"/>
      <c r="K1" s="1" t="s">
        <v>13</v>
      </c>
      <c r="L1" s="1"/>
      <c r="M1" s="1"/>
      <c r="N1" s="1"/>
      <c r="O1" s="1" t="s">
        <v>14</v>
      </c>
      <c r="P1" s="1"/>
      <c r="Q1" s="1"/>
      <c r="R1" s="1"/>
      <c r="S1" s="1" t="s">
        <v>15</v>
      </c>
      <c r="T1" s="1"/>
      <c r="U1" s="1"/>
      <c r="V1" s="1"/>
    </row>
    <row r="2" spans="1:22">
      <c r="A2" s="1" t="s">
        <v>0</v>
      </c>
      <c r="B2" s="1"/>
      <c r="C2" s="2" t="s">
        <v>1</v>
      </c>
      <c r="D2" s="2"/>
      <c r="E2" s="2" t="s">
        <v>2</v>
      </c>
      <c r="F2" s="2"/>
      <c r="G2" s="3" t="s">
        <v>1</v>
      </c>
      <c r="H2" s="3"/>
      <c r="I2" s="3" t="s">
        <v>2</v>
      </c>
      <c r="J2" s="3"/>
      <c r="K2" s="4" t="s">
        <v>1</v>
      </c>
      <c r="L2" s="4"/>
      <c r="M2" s="4" t="s">
        <v>2</v>
      </c>
      <c r="N2" s="4"/>
      <c r="O2" s="5" t="s">
        <v>1</v>
      </c>
      <c r="P2" s="5"/>
      <c r="Q2" s="5" t="s">
        <v>2</v>
      </c>
      <c r="R2" s="5"/>
      <c r="S2" s="12" t="s">
        <v>1</v>
      </c>
      <c r="T2" s="12"/>
      <c r="U2" s="12" t="s">
        <v>2</v>
      </c>
      <c r="V2" s="12"/>
    </row>
    <row r="3" spans="1:22">
      <c r="A3" s="1"/>
      <c r="B3" s="1"/>
      <c r="C3" s="6">
        <v>0.36134263117283899</v>
      </c>
      <c r="D3" s="6"/>
      <c r="E3" s="6">
        <v>35.002296000000001</v>
      </c>
      <c r="F3" s="6"/>
      <c r="G3" s="6">
        <v>5.0080362654321003E-2</v>
      </c>
      <c r="H3" s="6"/>
      <c r="I3" s="6">
        <v>33.843307000000003</v>
      </c>
      <c r="J3" s="6"/>
      <c r="K3" s="6">
        <v>2.1065496399177E-2</v>
      </c>
      <c r="L3" s="6"/>
      <c r="M3" s="6">
        <v>33.443638</v>
      </c>
      <c r="N3" s="6"/>
      <c r="O3" s="6">
        <v>1.05826710390947E-2</v>
      </c>
      <c r="P3" s="6"/>
      <c r="Q3" s="6">
        <v>32.625526000000001</v>
      </c>
      <c r="R3" s="6"/>
      <c r="S3" s="6">
        <v>4.6882201646090502E-3</v>
      </c>
      <c r="T3" s="6"/>
      <c r="U3" s="6">
        <v>31.622655999999999</v>
      </c>
      <c r="V3" s="6"/>
    </row>
    <row r="4" spans="1:22">
      <c r="A4" s="1"/>
      <c r="B4" s="1"/>
      <c r="C4" s="2" t="s">
        <v>1</v>
      </c>
      <c r="D4" s="2"/>
      <c r="E4" s="2" t="s">
        <v>3</v>
      </c>
      <c r="F4" s="2"/>
      <c r="G4" s="3" t="s">
        <v>1</v>
      </c>
      <c r="H4" s="3"/>
      <c r="I4" s="3" t="s">
        <v>3</v>
      </c>
      <c r="J4" s="3"/>
      <c r="K4" s="4" t="s">
        <v>1</v>
      </c>
      <c r="L4" s="4"/>
      <c r="M4" s="4" t="s">
        <v>3</v>
      </c>
      <c r="N4" s="4"/>
      <c r="O4" s="5" t="s">
        <v>1</v>
      </c>
      <c r="P4" s="5"/>
      <c r="Q4" s="5" t="s">
        <v>3</v>
      </c>
      <c r="R4" s="5"/>
      <c r="S4" s="12" t="s">
        <v>1</v>
      </c>
      <c r="T4" s="12"/>
      <c r="U4" s="12" t="s">
        <v>3</v>
      </c>
      <c r="V4" s="12"/>
    </row>
    <row r="5" spans="1:22">
      <c r="A5" s="1"/>
      <c r="B5" s="1"/>
      <c r="C5" s="8"/>
      <c r="D5" s="8"/>
      <c r="E5" s="6">
        <v>0.92967100000000003</v>
      </c>
      <c r="F5" s="6"/>
      <c r="G5" s="8"/>
      <c r="H5" s="8"/>
      <c r="I5" s="6">
        <v>0.89927000000000001</v>
      </c>
      <c r="J5" s="6"/>
      <c r="K5" s="8"/>
      <c r="L5" s="8"/>
      <c r="M5" s="6">
        <v>0.89393400000000001</v>
      </c>
      <c r="N5" s="6"/>
      <c r="O5" s="8"/>
      <c r="P5" s="8"/>
      <c r="Q5" s="6">
        <v>0.87890100000000004</v>
      </c>
      <c r="R5" s="6"/>
      <c r="S5" s="8"/>
      <c r="T5" s="8"/>
      <c r="U5" s="6">
        <v>0.86104199999999997</v>
      </c>
      <c r="V5" s="6"/>
    </row>
    <row r="6" spans="1:2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1" t="s">
        <v>4</v>
      </c>
      <c r="B7" s="1"/>
      <c r="C7" s="2" t="s">
        <v>1</v>
      </c>
      <c r="D7" s="2"/>
      <c r="E7" s="2" t="s">
        <v>2</v>
      </c>
      <c r="F7" s="2"/>
      <c r="G7" s="3" t="s">
        <v>1</v>
      </c>
      <c r="H7" s="3"/>
      <c r="I7" s="3" t="s">
        <v>2</v>
      </c>
      <c r="J7" s="3"/>
      <c r="K7" s="4" t="s">
        <v>1</v>
      </c>
      <c r="L7" s="4"/>
      <c r="M7" s="4" t="s">
        <v>2</v>
      </c>
      <c r="N7" s="4"/>
      <c r="O7" s="5" t="s">
        <v>1</v>
      </c>
      <c r="P7" s="5"/>
      <c r="Q7" s="5" t="s">
        <v>2</v>
      </c>
      <c r="R7" s="5"/>
      <c r="S7" s="12" t="s">
        <v>1</v>
      </c>
      <c r="T7" s="12"/>
      <c r="U7" s="12" t="s">
        <v>2</v>
      </c>
      <c r="V7" s="12"/>
    </row>
    <row r="8" spans="1:22">
      <c r="A8" s="1"/>
      <c r="B8" s="1"/>
      <c r="C8" s="6">
        <v>8.7578986625514402E-2</v>
      </c>
      <c r="D8" s="6"/>
      <c r="E8" s="6">
        <v>40.236609999999999</v>
      </c>
      <c r="F8" s="6"/>
      <c r="G8" s="6">
        <v>3.7214602623456799E-2</v>
      </c>
      <c r="H8" s="6"/>
      <c r="I8" s="6">
        <v>38.235455000000002</v>
      </c>
      <c r="J8" s="6"/>
      <c r="K8" s="6">
        <v>1.6434387860082299E-2</v>
      </c>
      <c r="L8" s="6"/>
      <c r="M8" s="6">
        <v>36.109408999999999</v>
      </c>
      <c r="N8" s="6"/>
      <c r="O8" s="6">
        <v>7.3245756172839504E-3</v>
      </c>
      <c r="P8" s="6"/>
      <c r="Q8" s="6">
        <v>33.942912999999997</v>
      </c>
      <c r="R8" s="6"/>
      <c r="S8" s="6">
        <v>3.04264403292181E-3</v>
      </c>
      <c r="T8" s="6"/>
      <c r="U8" s="6">
        <v>31.844721</v>
      </c>
      <c r="V8" s="6"/>
    </row>
    <row r="9" spans="1:22">
      <c r="A9" s="1"/>
      <c r="B9" s="1"/>
      <c r="C9" s="2" t="s">
        <v>1</v>
      </c>
      <c r="D9" s="2"/>
      <c r="E9" s="2" t="s">
        <v>3</v>
      </c>
      <c r="F9" s="2"/>
      <c r="G9" s="3" t="s">
        <v>1</v>
      </c>
      <c r="H9" s="3"/>
      <c r="I9" s="3" t="s">
        <v>3</v>
      </c>
      <c r="J9" s="3"/>
      <c r="K9" s="4" t="s">
        <v>1</v>
      </c>
      <c r="L9" s="4"/>
      <c r="M9" s="4" t="s">
        <v>3</v>
      </c>
      <c r="N9" s="4"/>
      <c r="O9" s="5" t="s">
        <v>1</v>
      </c>
      <c r="P9" s="5"/>
      <c r="Q9" s="5" t="s">
        <v>3</v>
      </c>
      <c r="R9" s="5"/>
      <c r="S9" s="12" t="s">
        <v>1</v>
      </c>
      <c r="T9" s="12"/>
      <c r="U9" s="12" t="s">
        <v>3</v>
      </c>
      <c r="V9" s="12"/>
    </row>
    <row r="10" spans="1:22">
      <c r="A10" s="1"/>
      <c r="B10" s="1"/>
      <c r="C10" s="8"/>
      <c r="D10" s="8"/>
      <c r="E10" s="6">
        <v>0.98282899999999995</v>
      </c>
      <c r="F10" s="6"/>
      <c r="G10" s="8"/>
      <c r="H10" s="8"/>
      <c r="I10" s="6">
        <v>0.97374099999999997</v>
      </c>
      <c r="J10" s="6"/>
      <c r="K10" s="8"/>
      <c r="L10" s="8"/>
      <c r="M10" s="6">
        <v>0.95925199999999999</v>
      </c>
      <c r="N10" s="6"/>
      <c r="O10" s="8"/>
      <c r="P10" s="8"/>
      <c r="Q10" s="6">
        <v>0.93692299999999995</v>
      </c>
      <c r="R10" s="6"/>
      <c r="S10" s="8"/>
      <c r="T10" s="8"/>
      <c r="U10" s="6">
        <v>0.90420400000000001</v>
      </c>
      <c r="V10" s="6"/>
    </row>
    <row r="11" spans="1:2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1" t="s">
        <v>5</v>
      </c>
      <c r="B12" s="1"/>
      <c r="C12" s="2" t="s">
        <v>1</v>
      </c>
      <c r="D12" s="2"/>
      <c r="E12" s="2" t="s">
        <v>2</v>
      </c>
      <c r="F12" s="2"/>
      <c r="G12" s="3" t="s">
        <v>1</v>
      </c>
      <c r="H12" s="3"/>
      <c r="I12" s="3" t="s">
        <v>2</v>
      </c>
      <c r="J12" s="3"/>
      <c r="K12" s="4" t="s">
        <v>1</v>
      </c>
      <c r="L12" s="4"/>
      <c r="M12" s="4" t="s">
        <v>2</v>
      </c>
      <c r="N12" s="4"/>
      <c r="O12" s="5" t="s">
        <v>1</v>
      </c>
      <c r="P12" s="5"/>
      <c r="Q12" s="5" t="s">
        <v>2</v>
      </c>
      <c r="R12" s="5"/>
      <c r="S12" s="12" t="s">
        <v>1</v>
      </c>
      <c r="T12" s="12"/>
      <c r="U12" s="12" t="s">
        <v>2</v>
      </c>
      <c r="V12" s="12"/>
    </row>
    <row r="13" spans="1:22">
      <c r="A13" s="1"/>
      <c r="B13" s="1"/>
      <c r="C13" s="6">
        <v>2.6458847736625501E-2</v>
      </c>
      <c r="D13" s="6"/>
      <c r="E13" s="6">
        <v>37.955790999999998</v>
      </c>
      <c r="F13" s="6"/>
      <c r="G13" s="6">
        <v>5.92174639917696E-3</v>
      </c>
      <c r="H13" s="6"/>
      <c r="I13" s="6">
        <v>36.765701</v>
      </c>
      <c r="J13" s="6"/>
      <c r="K13" s="6">
        <v>2.7091820987654299E-3</v>
      </c>
      <c r="L13" s="6"/>
      <c r="M13" s="6">
        <v>35.036003000000001</v>
      </c>
      <c r="N13" s="6"/>
      <c r="O13" s="6">
        <v>1.5442258230452699E-3</v>
      </c>
      <c r="P13" s="6"/>
      <c r="Q13" s="6">
        <v>33.029716000000001</v>
      </c>
      <c r="R13" s="6"/>
      <c r="S13" s="6">
        <v>9.5127957818930001E-4</v>
      </c>
      <c r="T13" s="6"/>
      <c r="U13" s="6">
        <v>31.227995</v>
      </c>
      <c r="V13" s="6"/>
    </row>
    <row r="14" spans="1:22">
      <c r="A14" s="1"/>
      <c r="B14" s="1"/>
      <c r="C14" s="2" t="s">
        <v>1</v>
      </c>
      <c r="D14" s="2"/>
      <c r="E14" s="2" t="s">
        <v>3</v>
      </c>
      <c r="F14" s="2"/>
      <c r="G14" s="3" t="s">
        <v>1</v>
      </c>
      <c r="H14" s="3"/>
      <c r="I14" s="3" t="s">
        <v>3</v>
      </c>
      <c r="J14" s="3"/>
      <c r="K14" s="4" t="s">
        <v>1</v>
      </c>
      <c r="L14" s="4"/>
      <c r="M14" s="4" t="s">
        <v>3</v>
      </c>
      <c r="N14" s="4"/>
      <c r="O14" s="5" t="s">
        <v>1</v>
      </c>
      <c r="P14" s="5"/>
      <c r="Q14" s="5" t="s">
        <v>3</v>
      </c>
      <c r="R14" s="5"/>
      <c r="S14" s="12" t="s">
        <v>1</v>
      </c>
      <c r="T14" s="12"/>
      <c r="U14" s="12" t="s">
        <v>3</v>
      </c>
      <c r="V14" s="12"/>
    </row>
    <row r="15" spans="1:22">
      <c r="A15" s="1"/>
      <c r="B15" s="1"/>
      <c r="C15" s="8"/>
      <c r="D15" s="8"/>
      <c r="E15" s="6">
        <v>0.98042399999999996</v>
      </c>
      <c r="F15" s="6"/>
      <c r="G15" s="8"/>
      <c r="H15" s="8"/>
      <c r="I15" s="6">
        <v>0.97589899999999996</v>
      </c>
      <c r="J15" s="6"/>
      <c r="K15" s="8"/>
      <c r="L15" s="8"/>
      <c r="M15" s="6">
        <v>0.96738199999999996</v>
      </c>
      <c r="N15" s="6"/>
      <c r="O15" s="8"/>
      <c r="P15" s="8"/>
      <c r="Q15" s="6">
        <v>0.95301100000000005</v>
      </c>
      <c r="R15" s="6"/>
      <c r="S15" s="8"/>
      <c r="T15" s="8"/>
      <c r="U15" s="6">
        <v>0.93371300000000002</v>
      </c>
      <c r="V15" s="6"/>
    </row>
    <row r="16" spans="1:2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>
      <c r="A17" s="1" t="s">
        <v>6</v>
      </c>
      <c r="B17" s="1"/>
      <c r="C17" s="2" t="s">
        <v>1</v>
      </c>
      <c r="D17" s="2"/>
      <c r="E17" s="2" t="s">
        <v>2</v>
      </c>
      <c r="F17" s="2"/>
      <c r="G17" s="3" t="s">
        <v>1</v>
      </c>
      <c r="H17" s="3"/>
      <c r="I17" s="3" t="s">
        <v>2</v>
      </c>
      <c r="J17" s="3"/>
      <c r="K17" s="4" t="s">
        <v>1</v>
      </c>
      <c r="L17" s="4"/>
      <c r="M17" s="4" t="s">
        <v>2</v>
      </c>
      <c r="N17" s="4"/>
      <c r="O17" s="5" t="s">
        <v>1</v>
      </c>
      <c r="P17" s="5"/>
      <c r="Q17" s="5" t="s">
        <v>2</v>
      </c>
      <c r="R17" s="5"/>
      <c r="S17" s="12" t="s">
        <v>1</v>
      </c>
      <c r="T17" s="12"/>
      <c r="U17" s="12" t="s">
        <v>2</v>
      </c>
      <c r="V17" s="12"/>
    </row>
    <row r="18" spans="1:22">
      <c r="A18" s="1"/>
      <c r="B18" s="1"/>
      <c r="C18" s="6">
        <v>9.3191718106995905E-2</v>
      </c>
      <c r="D18" s="6"/>
      <c r="E18" s="6">
        <v>38.642273000000003</v>
      </c>
      <c r="F18" s="6"/>
      <c r="G18" s="6">
        <v>3.8774530606995899E-2</v>
      </c>
      <c r="H18" s="6"/>
      <c r="I18" s="6">
        <v>37.489303999999997</v>
      </c>
      <c r="J18" s="6"/>
      <c r="K18" s="6">
        <v>2.12010352366255E-2</v>
      </c>
      <c r="L18" s="6"/>
      <c r="M18" s="6">
        <v>36.039101000000002</v>
      </c>
      <c r="N18" s="6"/>
      <c r="O18" s="6">
        <v>1.2251376028806601E-2</v>
      </c>
      <c r="P18" s="6"/>
      <c r="Q18" s="6">
        <v>34.244675000000001</v>
      </c>
      <c r="R18" s="6"/>
      <c r="S18" s="6">
        <v>6.4918402777777804E-3</v>
      </c>
      <c r="T18" s="6"/>
      <c r="U18" s="6">
        <v>32.309479000000003</v>
      </c>
      <c r="V18" s="6"/>
    </row>
    <row r="19" spans="1:22">
      <c r="A19" s="1"/>
      <c r="B19" s="1"/>
      <c r="C19" s="2" t="s">
        <v>1</v>
      </c>
      <c r="D19" s="2"/>
      <c r="E19" s="2" t="s">
        <v>3</v>
      </c>
      <c r="F19" s="2"/>
      <c r="G19" s="3" t="s">
        <v>1</v>
      </c>
      <c r="H19" s="3"/>
      <c r="I19" s="3" t="s">
        <v>3</v>
      </c>
      <c r="J19" s="3"/>
      <c r="K19" s="4" t="s">
        <v>1</v>
      </c>
      <c r="L19" s="4"/>
      <c r="M19" s="4" t="s">
        <v>3</v>
      </c>
      <c r="N19" s="4"/>
      <c r="O19" s="5" t="s">
        <v>1</v>
      </c>
      <c r="P19" s="5"/>
      <c r="Q19" s="5" t="s">
        <v>3</v>
      </c>
      <c r="R19" s="5"/>
      <c r="S19" s="12" t="s">
        <v>1</v>
      </c>
      <c r="T19" s="12"/>
      <c r="U19" s="12" t="s">
        <v>3</v>
      </c>
      <c r="V19" s="12"/>
    </row>
    <row r="20" spans="1:22">
      <c r="A20" s="1"/>
      <c r="B20" s="1"/>
      <c r="C20" s="8"/>
      <c r="D20" s="8"/>
      <c r="E20" s="6">
        <v>0.96981499999999998</v>
      </c>
      <c r="F20" s="6"/>
      <c r="G20" s="8"/>
      <c r="H20" s="8"/>
      <c r="I20" s="6">
        <v>0.96109599999999995</v>
      </c>
      <c r="J20" s="6"/>
      <c r="K20" s="8"/>
      <c r="L20" s="8"/>
      <c r="M20" s="6">
        <v>0.94789599999999996</v>
      </c>
      <c r="N20" s="6"/>
      <c r="O20" s="8"/>
      <c r="P20" s="8"/>
      <c r="Q20" s="6">
        <v>0.92537599999999998</v>
      </c>
      <c r="R20" s="6"/>
      <c r="S20" s="8"/>
      <c r="T20" s="8"/>
      <c r="U20" s="6">
        <v>0.89366400000000001</v>
      </c>
      <c r="V20" s="6"/>
    </row>
    <row r="21" spans="1:2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>
      <c r="A22" s="1" t="s">
        <v>7</v>
      </c>
      <c r="B22" s="1"/>
      <c r="C22" s="2" t="s">
        <v>1</v>
      </c>
      <c r="D22" s="2"/>
      <c r="E22" s="2" t="s">
        <v>2</v>
      </c>
      <c r="F22" s="2"/>
      <c r="G22" s="3" t="s">
        <v>1</v>
      </c>
      <c r="H22" s="3"/>
      <c r="I22" s="3" t="s">
        <v>2</v>
      </c>
      <c r="J22" s="3"/>
      <c r="K22" s="4" t="s">
        <v>1</v>
      </c>
      <c r="L22" s="4"/>
      <c r="M22" s="4" t="s">
        <v>2</v>
      </c>
      <c r="N22" s="4"/>
      <c r="O22" s="5" t="s">
        <v>1</v>
      </c>
      <c r="P22" s="5"/>
      <c r="Q22" s="5" t="s">
        <v>2</v>
      </c>
      <c r="R22" s="5"/>
      <c r="S22" s="12" t="s">
        <v>1</v>
      </c>
      <c r="T22" s="12"/>
      <c r="U22" s="12" t="s">
        <v>2</v>
      </c>
      <c r="V22" s="12"/>
    </row>
    <row r="23" spans="1:22">
      <c r="A23" s="1"/>
      <c r="B23" s="1"/>
      <c r="C23" s="6">
        <v>0.146850437242798</v>
      </c>
      <c r="D23" s="6"/>
      <c r="E23" s="6">
        <v>39.059241999999998</v>
      </c>
      <c r="F23" s="6"/>
      <c r="G23" s="6">
        <v>8.0512487139917696E-2</v>
      </c>
      <c r="H23" s="6"/>
      <c r="I23" s="6">
        <v>36.770587999999996</v>
      </c>
      <c r="J23" s="6"/>
      <c r="K23" s="6">
        <v>4.5674395576131697E-2</v>
      </c>
      <c r="L23" s="6"/>
      <c r="M23" s="6">
        <v>34.370235000000001</v>
      </c>
      <c r="N23" s="6"/>
      <c r="O23" s="6">
        <v>2.5854436728395099E-2</v>
      </c>
      <c r="P23" s="6"/>
      <c r="Q23" s="6">
        <v>31.943124999999998</v>
      </c>
      <c r="R23" s="6"/>
      <c r="S23" s="6">
        <v>1.32299125514403E-2</v>
      </c>
      <c r="T23" s="6"/>
      <c r="U23" s="6">
        <v>29.517637000000001</v>
      </c>
      <c r="V23" s="6"/>
    </row>
    <row r="24" spans="1:22">
      <c r="A24" s="1"/>
      <c r="B24" s="1"/>
      <c r="C24" s="2" t="s">
        <v>1</v>
      </c>
      <c r="D24" s="2"/>
      <c r="E24" s="2" t="s">
        <v>3</v>
      </c>
      <c r="F24" s="2"/>
      <c r="G24" s="3" t="s">
        <v>1</v>
      </c>
      <c r="H24" s="3"/>
      <c r="I24" s="3" t="s">
        <v>3</v>
      </c>
      <c r="J24" s="3"/>
      <c r="K24" s="4" t="s">
        <v>1</v>
      </c>
      <c r="L24" s="4"/>
      <c r="M24" s="4" t="s">
        <v>3</v>
      </c>
      <c r="N24" s="4"/>
      <c r="O24" s="5" t="s">
        <v>1</v>
      </c>
      <c r="P24" s="5"/>
      <c r="Q24" s="5" t="s">
        <v>3</v>
      </c>
      <c r="R24" s="5"/>
      <c r="S24" s="12" t="s">
        <v>1</v>
      </c>
      <c r="T24" s="12"/>
      <c r="U24" s="12" t="s">
        <v>3</v>
      </c>
      <c r="V24" s="12"/>
    </row>
    <row r="25" spans="1:22">
      <c r="A25" s="1"/>
      <c r="B25" s="1"/>
      <c r="C25" s="8"/>
      <c r="D25" s="8"/>
      <c r="E25" s="6">
        <v>0.98791600000000002</v>
      </c>
      <c r="F25" s="6"/>
      <c r="G25" s="8"/>
      <c r="H25" s="8"/>
      <c r="I25" s="6">
        <v>0.98209999999999997</v>
      </c>
      <c r="J25" s="6"/>
      <c r="K25" s="8"/>
      <c r="L25" s="8"/>
      <c r="M25" s="6">
        <v>0.97252400000000006</v>
      </c>
      <c r="N25" s="6"/>
      <c r="O25" s="8"/>
      <c r="P25" s="8"/>
      <c r="Q25" s="6">
        <v>0.95632399999999995</v>
      </c>
      <c r="R25" s="6"/>
      <c r="S25" s="8"/>
      <c r="T25" s="8"/>
      <c r="U25" s="6">
        <v>0.93058799999999997</v>
      </c>
      <c r="V25" s="6"/>
    </row>
    <row r="26" spans="1:2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>
      <c r="A27" s="1" t="s">
        <v>8</v>
      </c>
      <c r="B27" s="1"/>
      <c r="C27" s="2" t="s">
        <v>1</v>
      </c>
      <c r="D27" s="2"/>
      <c r="E27" s="2" t="s">
        <v>2</v>
      </c>
      <c r="F27" s="2"/>
      <c r="G27" s="3" t="s">
        <v>1</v>
      </c>
      <c r="H27" s="3"/>
      <c r="I27" s="3" t="s">
        <v>2</v>
      </c>
      <c r="J27" s="3"/>
      <c r="K27" s="4" t="s">
        <v>1</v>
      </c>
      <c r="L27" s="4"/>
      <c r="M27" s="4" t="s">
        <v>2</v>
      </c>
      <c r="N27" s="4"/>
      <c r="O27" s="5" t="s">
        <v>1</v>
      </c>
      <c r="P27" s="5"/>
      <c r="Q27" s="5" t="s">
        <v>2</v>
      </c>
      <c r="R27" s="5"/>
      <c r="S27" s="12" t="s">
        <v>1</v>
      </c>
      <c r="T27" s="12"/>
      <c r="U27" s="12" t="s">
        <v>2</v>
      </c>
      <c r="V27" s="12"/>
    </row>
    <row r="28" spans="1:22">
      <c r="A28" s="1"/>
      <c r="B28" s="1"/>
      <c r="C28" s="6">
        <v>0.18759669495884801</v>
      </c>
      <c r="D28" s="6"/>
      <c r="E28" s="6">
        <v>37.304946999999999</v>
      </c>
      <c r="F28" s="6"/>
      <c r="G28" s="6">
        <v>9.2887422839506198E-2</v>
      </c>
      <c r="H28" s="6"/>
      <c r="I28" s="6">
        <v>35.629818</v>
      </c>
      <c r="J28" s="6"/>
      <c r="K28" s="6">
        <v>4.4527790637860103E-2</v>
      </c>
      <c r="L28" s="6"/>
      <c r="M28" s="6">
        <v>33.692909</v>
      </c>
      <c r="N28" s="6"/>
      <c r="O28" s="6">
        <v>1.83196502057613E-2</v>
      </c>
      <c r="P28" s="6"/>
      <c r="Q28" s="6">
        <v>31.629277999999999</v>
      </c>
      <c r="R28" s="6"/>
      <c r="S28" s="6">
        <v>5.36716820987654E-3</v>
      </c>
      <c r="T28" s="6"/>
      <c r="U28" s="6">
        <v>29.610748000000001</v>
      </c>
      <c r="V28" s="6"/>
    </row>
    <row r="29" spans="1:22">
      <c r="A29" s="1"/>
      <c r="B29" s="1"/>
      <c r="C29" s="2" t="s">
        <v>1</v>
      </c>
      <c r="D29" s="2"/>
      <c r="E29" s="2" t="s">
        <v>3</v>
      </c>
      <c r="F29" s="2"/>
      <c r="G29" s="3" t="s">
        <v>1</v>
      </c>
      <c r="H29" s="3"/>
      <c r="I29" s="3" t="s">
        <v>3</v>
      </c>
      <c r="J29" s="3"/>
      <c r="K29" s="4" t="s">
        <v>1</v>
      </c>
      <c r="L29" s="4"/>
      <c r="M29" s="4" t="s">
        <v>3</v>
      </c>
      <c r="N29" s="4"/>
      <c r="O29" s="5" t="s">
        <v>1</v>
      </c>
      <c r="P29" s="5"/>
      <c r="Q29" s="5" t="s">
        <v>3</v>
      </c>
      <c r="R29" s="5"/>
      <c r="S29" s="12" t="s">
        <v>1</v>
      </c>
      <c r="T29" s="12"/>
      <c r="U29" s="12" t="s">
        <v>3</v>
      </c>
      <c r="V29" s="12"/>
    </row>
    <row r="30" spans="1:22">
      <c r="A30" s="1"/>
      <c r="B30" s="1"/>
      <c r="C30" s="8"/>
      <c r="D30" s="8"/>
      <c r="E30" s="6">
        <v>0.97543599999999997</v>
      </c>
      <c r="F30" s="6"/>
      <c r="G30" s="8"/>
      <c r="H30" s="8"/>
      <c r="I30" s="6">
        <v>0.96434200000000003</v>
      </c>
      <c r="J30" s="6"/>
      <c r="K30" s="8"/>
      <c r="L30" s="8"/>
      <c r="M30" s="6">
        <v>0.94584500000000005</v>
      </c>
      <c r="N30" s="6"/>
      <c r="O30" s="8"/>
      <c r="P30" s="8"/>
      <c r="Q30" s="6">
        <v>0.91527800000000004</v>
      </c>
      <c r="R30" s="6"/>
      <c r="S30" s="8"/>
      <c r="T30" s="8"/>
      <c r="U30" s="6">
        <v>0.86950899999999998</v>
      </c>
      <c r="V30" s="6"/>
    </row>
    <row r="31" spans="1:2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>
      <c r="A32" s="1" t="s">
        <v>9</v>
      </c>
      <c r="B32" s="1"/>
      <c r="C32" s="2" t="s">
        <v>1</v>
      </c>
      <c r="D32" s="2"/>
      <c r="E32" s="2" t="s">
        <v>2</v>
      </c>
      <c r="F32" s="2"/>
      <c r="G32" s="3" t="s">
        <v>1</v>
      </c>
      <c r="H32" s="3"/>
      <c r="I32" s="3" t="s">
        <v>2</v>
      </c>
      <c r="J32" s="3"/>
      <c r="K32" s="4" t="s">
        <v>1</v>
      </c>
      <c r="L32" s="4"/>
      <c r="M32" s="4" t="s">
        <v>2</v>
      </c>
      <c r="N32" s="4"/>
      <c r="O32" s="5" t="s">
        <v>1</v>
      </c>
      <c r="P32" s="5"/>
      <c r="Q32" s="5" t="s">
        <v>2</v>
      </c>
      <c r="R32" s="5"/>
      <c r="S32" s="12" t="s">
        <v>1</v>
      </c>
      <c r="T32" s="12"/>
      <c r="U32" s="12" t="s">
        <v>2</v>
      </c>
      <c r="V32" s="12"/>
    </row>
    <row r="33" spans="1:22">
      <c r="A33" s="1"/>
      <c r="B33" s="1"/>
      <c r="C33" s="6">
        <v>0.28758425925925901</v>
      </c>
      <c r="D33" s="6"/>
      <c r="E33" s="6">
        <v>39.369396000000002</v>
      </c>
      <c r="F33" s="6"/>
      <c r="G33" s="6">
        <v>0.15621498199588499</v>
      </c>
      <c r="H33" s="6"/>
      <c r="I33" s="6">
        <v>37.006312999999999</v>
      </c>
      <c r="J33" s="6"/>
      <c r="K33" s="6">
        <v>8.1123244598765507E-2</v>
      </c>
      <c r="L33" s="6"/>
      <c r="M33" s="6">
        <v>34.620949000000003</v>
      </c>
      <c r="N33" s="6"/>
      <c r="O33" s="6">
        <v>3.89943865740741E-2</v>
      </c>
      <c r="P33" s="6"/>
      <c r="Q33" s="6">
        <v>32.186706999999998</v>
      </c>
      <c r="R33" s="6"/>
      <c r="S33" s="6">
        <v>1.4803189300411501E-2</v>
      </c>
      <c r="T33" s="6"/>
      <c r="U33" s="6">
        <v>29.778462999999999</v>
      </c>
      <c r="V33" s="6"/>
    </row>
    <row r="34" spans="1:22">
      <c r="A34" s="1"/>
      <c r="B34" s="1"/>
      <c r="C34" s="2" t="s">
        <v>1</v>
      </c>
      <c r="D34" s="2"/>
      <c r="E34" s="2" t="s">
        <v>3</v>
      </c>
      <c r="F34" s="2"/>
      <c r="G34" s="3" t="s">
        <v>1</v>
      </c>
      <c r="H34" s="3"/>
      <c r="I34" s="3" t="s">
        <v>3</v>
      </c>
      <c r="J34" s="3"/>
      <c r="K34" s="4" t="s">
        <v>1</v>
      </c>
      <c r="L34" s="4"/>
      <c r="M34" s="4" t="s">
        <v>3</v>
      </c>
      <c r="N34" s="4"/>
      <c r="O34" s="5" t="s">
        <v>1</v>
      </c>
      <c r="P34" s="5"/>
      <c r="Q34" s="5" t="s">
        <v>3</v>
      </c>
      <c r="R34" s="5"/>
      <c r="S34" s="12" t="s">
        <v>1</v>
      </c>
      <c r="T34" s="12"/>
      <c r="U34" s="12" t="s">
        <v>3</v>
      </c>
      <c r="V34" s="12"/>
    </row>
    <row r="35" spans="1:22">
      <c r="A35" s="1"/>
      <c r="B35" s="1"/>
      <c r="C35" s="8"/>
      <c r="D35" s="8"/>
      <c r="E35" s="6">
        <v>0.98453800000000002</v>
      </c>
      <c r="F35" s="6"/>
      <c r="G35" s="8"/>
      <c r="H35" s="8"/>
      <c r="I35" s="6">
        <v>0.97594199999999998</v>
      </c>
      <c r="J35" s="6"/>
      <c r="K35" s="8"/>
      <c r="L35" s="8"/>
      <c r="M35" s="6">
        <v>0.96199400000000002</v>
      </c>
      <c r="N35" s="6"/>
      <c r="O35" s="8"/>
      <c r="P35" s="8"/>
      <c r="Q35" s="6">
        <v>0.93736399999999998</v>
      </c>
      <c r="R35" s="6"/>
      <c r="S35" s="8"/>
      <c r="T35" s="8"/>
      <c r="U35" s="6">
        <v>0.89777399999999996</v>
      </c>
      <c r="V35" s="6"/>
    </row>
    <row r="36" spans="1:2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>
      <c r="A37" s="1" t="s">
        <v>10</v>
      </c>
      <c r="B37" s="1"/>
      <c r="C37" s="2" t="s">
        <v>1</v>
      </c>
      <c r="D37" s="2"/>
      <c r="E37" s="2" t="s">
        <v>2</v>
      </c>
      <c r="F37" s="2"/>
      <c r="G37" s="3" t="s">
        <v>1</v>
      </c>
      <c r="H37" s="3"/>
      <c r="I37" s="3" t="s">
        <v>2</v>
      </c>
      <c r="J37" s="3"/>
      <c r="K37" s="4" t="s">
        <v>1</v>
      </c>
      <c r="L37" s="4"/>
      <c r="M37" s="4" t="s">
        <v>2</v>
      </c>
      <c r="N37" s="4"/>
      <c r="O37" s="5" t="s">
        <v>1</v>
      </c>
      <c r="P37" s="5"/>
      <c r="Q37" s="5" t="s">
        <v>2</v>
      </c>
      <c r="R37" s="5"/>
      <c r="S37" s="12" t="s">
        <v>1</v>
      </c>
      <c r="T37" s="12"/>
      <c r="U37" s="12" t="s">
        <v>2</v>
      </c>
      <c r="V37" s="12"/>
    </row>
    <row r="38" spans="1:22">
      <c r="A38" s="1"/>
      <c r="B38" s="1"/>
      <c r="C38" s="6">
        <f>AVERAGE(C3,C8,C13,C18,C23,C28,C33)</f>
        <v>0.17008622501469711</v>
      </c>
      <c r="D38" s="6"/>
      <c r="E38" s="6">
        <f>AVERAGE(E3,E8,E13,E18,E23,E28,E33)</f>
        <v>38.224364999999999</v>
      </c>
      <c r="F38" s="6"/>
      <c r="G38" s="6">
        <f>AVERAGE(G3,G8,G13,G18,G23,G28,G33)</f>
        <v>6.5943733465608514E-2</v>
      </c>
      <c r="H38" s="6"/>
      <c r="I38" s="6">
        <f>AVERAGE(I3,I8,I13,I18,I23,I28,I33)</f>
        <v>36.534355142857144</v>
      </c>
      <c r="J38" s="6"/>
      <c r="K38" s="6">
        <f>AVERAGE(K3,K8,K13,K18,K23,K28,K33)</f>
        <v>3.3247933201058219E-2</v>
      </c>
      <c r="L38" s="6"/>
      <c r="M38" s="6">
        <f>AVERAGE(M3,M8,M13,M18,M23,M28,M33)</f>
        <v>34.758892000000003</v>
      </c>
      <c r="N38" s="6"/>
      <c r="O38" s="6">
        <f>AVERAGE(O3,O8,O13,O18,O23,O28,O33)</f>
        <v>1.6410188859494433E-2</v>
      </c>
      <c r="P38" s="6"/>
      <c r="Q38" s="6">
        <f>AVERAGE(Q3,Q8,Q13,Q18,Q23,Q28,Q33)</f>
        <v>32.800277142857148</v>
      </c>
      <c r="R38" s="6"/>
      <c r="S38" s="6">
        <f>AVERAGE(S3,S8,S13,S18,S23,S28,S33)</f>
        <v>6.9391791593180407E-3</v>
      </c>
      <c r="T38" s="6"/>
      <c r="U38" s="6">
        <f>AVERAGE(U3,U8,U13,U18,U23,U28,U33)</f>
        <v>30.844528428571429</v>
      </c>
      <c r="V38" s="6"/>
    </row>
    <row r="39" spans="1:22">
      <c r="A39" s="1"/>
      <c r="B39" s="1"/>
      <c r="C39" s="2" t="s">
        <v>1</v>
      </c>
      <c r="D39" s="2"/>
      <c r="E39" s="2" t="s">
        <v>3</v>
      </c>
      <c r="F39" s="2"/>
      <c r="G39" s="3" t="s">
        <v>1</v>
      </c>
      <c r="H39" s="3"/>
      <c r="I39" s="3" t="s">
        <v>3</v>
      </c>
      <c r="J39" s="3"/>
      <c r="K39" s="4" t="s">
        <v>1</v>
      </c>
      <c r="L39" s="4"/>
      <c r="M39" s="4" t="s">
        <v>3</v>
      </c>
      <c r="N39" s="4"/>
      <c r="O39" s="5" t="s">
        <v>1</v>
      </c>
      <c r="P39" s="5"/>
      <c r="Q39" s="5" t="s">
        <v>3</v>
      </c>
      <c r="R39" s="5"/>
      <c r="S39" s="12" t="s">
        <v>1</v>
      </c>
      <c r="T39" s="12"/>
      <c r="U39" s="12" t="s">
        <v>3</v>
      </c>
      <c r="V39" s="12"/>
    </row>
    <row r="40" spans="1:22">
      <c r="A40" s="1"/>
      <c r="B40" s="1"/>
      <c r="C40" s="8"/>
      <c r="D40" s="8"/>
      <c r="E40" s="6">
        <f>AVERAGE(E5,E10,E15,E20,E25,E30,E35)</f>
        <v>0.9729469999999999</v>
      </c>
      <c r="F40" s="6"/>
      <c r="G40" s="11"/>
      <c r="H40" s="11"/>
      <c r="I40" s="6">
        <f>AVERAGE(I5,I10,I15,I20,I25,I30,I35)</f>
        <v>0.96177000000000012</v>
      </c>
      <c r="J40" s="6"/>
      <c r="K40" s="11"/>
      <c r="L40" s="11"/>
      <c r="M40" s="6">
        <f>AVERAGE(M5,M10,M15,M20,M25,M30,M35)</f>
        <v>0.94983242857142858</v>
      </c>
      <c r="N40" s="6"/>
      <c r="O40" s="11"/>
      <c r="P40" s="11"/>
      <c r="Q40" s="6">
        <f>AVERAGE(Q5,Q10,Q15,Q20,Q25,Q30,Q35)</f>
        <v>0.92902528571428555</v>
      </c>
      <c r="R40" s="6"/>
      <c r="S40" s="11"/>
      <c r="T40" s="11"/>
      <c r="U40" s="6">
        <f>AVERAGE(U5,U10,U15,U20,U25,U30,U35)</f>
        <v>0.89864199999999994</v>
      </c>
      <c r="V40" s="6"/>
    </row>
  </sheetData>
  <mergeCells count="329">
    <mergeCell ref="U40:V40"/>
    <mergeCell ref="M39:N39"/>
    <mergeCell ref="O39:P39"/>
    <mergeCell ref="Q39:R39"/>
    <mergeCell ref="S39:T39"/>
    <mergeCell ref="U39:V39"/>
    <mergeCell ref="C40:D40"/>
    <mergeCell ref="E40:F40"/>
    <mergeCell ref="I40:J40"/>
    <mergeCell ref="M40:N40"/>
    <mergeCell ref="Q40:R40"/>
    <mergeCell ref="M38:N38"/>
    <mergeCell ref="O38:P38"/>
    <mergeCell ref="Q38:R38"/>
    <mergeCell ref="S38:T38"/>
    <mergeCell ref="U38:V38"/>
    <mergeCell ref="C39:D39"/>
    <mergeCell ref="E39:F39"/>
    <mergeCell ref="G39:H39"/>
    <mergeCell ref="I39:J39"/>
    <mergeCell ref="K39:L39"/>
    <mergeCell ref="M37:N37"/>
    <mergeCell ref="O37:P37"/>
    <mergeCell ref="Q37:R37"/>
    <mergeCell ref="S37:T37"/>
    <mergeCell ref="U37:V37"/>
    <mergeCell ref="C38:D38"/>
    <mergeCell ref="E38:F38"/>
    <mergeCell ref="G38:H38"/>
    <mergeCell ref="I38:J38"/>
    <mergeCell ref="K38:L38"/>
    <mergeCell ref="O35:P35"/>
    <mergeCell ref="Q35:R35"/>
    <mergeCell ref="S35:T35"/>
    <mergeCell ref="U35:V35"/>
    <mergeCell ref="A37:B40"/>
    <mergeCell ref="C37:D37"/>
    <mergeCell ref="E37:F37"/>
    <mergeCell ref="G37:H37"/>
    <mergeCell ref="I37:J37"/>
    <mergeCell ref="K37:L37"/>
    <mergeCell ref="O34:P34"/>
    <mergeCell ref="Q34:R34"/>
    <mergeCell ref="S34:T34"/>
    <mergeCell ref="U34:V34"/>
    <mergeCell ref="C35:D35"/>
    <mergeCell ref="E35:F35"/>
    <mergeCell ref="G35:H35"/>
    <mergeCell ref="I35:J35"/>
    <mergeCell ref="K35:L35"/>
    <mergeCell ref="M35:N35"/>
    <mergeCell ref="O33:P33"/>
    <mergeCell ref="Q33:R33"/>
    <mergeCell ref="S33:T33"/>
    <mergeCell ref="U33:V33"/>
    <mergeCell ref="C34:D34"/>
    <mergeCell ref="E34:F34"/>
    <mergeCell ref="G34:H34"/>
    <mergeCell ref="I34:J34"/>
    <mergeCell ref="K34:L34"/>
    <mergeCell ref="M34:N34"/>
    <mergeCell ref="C33:D33"/>
    <mergeCell ref="E33:F33"/>
    <mergeCell ref="G33:H33"/>
    <mergeCell ref="I33:J33"/>
    <mergeCell ref="K33:L33"/>
    <mergeCell ref="M33:N33"/>
    <mergeCell ref="K32:L32"/>
    <mergeCell ref="M32:N32"/>
    <mergeCell ref="O32:P32"/>
    <mergeCell ref="Q32:R32"/>
    <mergeCell ref="S32:T32"/>
    <mergeCell ref="U32:V32"/>
    <mergeCell ref="M30:N30"/>
    <mergeCell ref="O30:P30"/>
    <mergeCell ref="Q30:R30"/>
    <mergeCell ref="S30:T30"/>
    <mergeCell ref="U30:V30"/>
    <mergeCell ref="A32:B35"/>
    <mergeCell ref="C32:D32"/>
    <mergeCell ref="E32:F32"/>
    <mergeCell ref="G32:H32"/>
    <mergeCell ref="I32:J32"/>
    <mergeCell ref="M29:N29"/>
    <mergeCell ref="O29:P29"/>
    <mergeCell ref="Q29:R29"/>
    <mergeCell ref="S29:T29"/>
    <mergeCell ref="U29:V29"/>
    <mergeCell ref="C30:D30"/>
    <mergeCell ref="E30:F30"/>
    <mergeCell ref="G30:H30"/>
    <mergeCell ref="I30:J30"/>
    <mergeCell ref="K30:L30"/>
    <mergeCell ref="M28:N28"/>
    <mergeCell ref="O28:P28"/>
    <mergeCell ref="Q28:R28"/>
    <mergeCell ref="S28:T28"/>
    <mergeCell ref="U28:V28"/>
    <mergeCell ref="C29:D29"/>
    <mergeCell ref="E29:F29"/>
    <mergeCell ref="G29:H29"/>
    <mergeCell ref="I29:J29"/>
    <mergeCell ref="K29:L29"/>
    <mergeCell ref="M27:N27"/>
    <mergeCell ref="O27:P27"/>
    <mergeCell ref="Q27:R27"/>
    <mergeCell ref="S27:T27"/>
    <mergeCell ref="U27:V27"/>
    <mergeCell ref="C28:D28"/>
    <mergeCell ref="E28:F28"/>
    <mergeCell ref="G28:H28"/>
    <mergeCell ref="I28:J28"/>
    <mergeCell ref="K28:L28"/>
    <mergeCell ref="O25:P25"/>
    <mergeCell ref="Q25:R25"/>
    <mergeCell ref="S25:T25"/>
    <mergeCell ref="U25:V25"/>
    <mergeCell ref="A27:B30"/>
    <mergeCell ref="C27:D27"/>
    <mergeCell ref="E27:F27"/>
    <mergeCell ref="G27:H27"/>
    <mergeCell ref="I27:J27"/>
    <mergeCell ref="K27:L27"/>
    <mergeCell ref="O24:P24"/>
    <mergeCell ref="Q24:R24"/>
    <mergeCell ref="S24:T24"/>
    <mergeCell ref="U24:V24"/>
    <mergeCell ref="C25:D25"/>
    <mergeCell ref="E25:F25"/>
    <mergeCell ref="G25:H25"/>
    <mergeCell ref="I25:J25"/>
    <mergeCell ref="K25:L25"/>
    <mergeCell ref="M25:N25"/>
    <mergeCell ref="O23:P23"/>
    <mergeCell ref="Q23:R23"/>
    <mergeCell ref="S23:T23"/>
    <mergeCell ref="U23:V23"/>
    <mergeCell ref="C24:D24"/>
    <mergeCell ref="E24:F24"/>
    <mergeCell ref="G24:H24"/>
    <mergeCell ref="I24:J24"/>
    <mergeCell ref="K24:L24"/>
    <mergeCell ref="M24:N24"/>
    <mergeCell ref="C23:D23"/>
    <mergeCell ref="E23:F23"/>
    <mergeCell ref="G23:H23"/>
    <mergeCell ref="I23:J23"/>
    <mergeCell ref="K23:L23"/>
    <mergeCell ref="M23:N23"/>
    <mergeCell ref="K22:L22"/>
    <mergeCell ref="M22:N22"/>
    <mergeCell ref="O22:P22"/>
    <mergeCell ref="Q22:R22"/>
    <mergeCell ref="S22:T22"/>
    <mergeCell ref="U22:V22"/>
    <mergeCell ref="M20:N20"/>
    <mergeCell ref="O20:P20"/>
    <mergeCell ref="Q20:R20"/>
    <mergeCell ref="S20:T20"/>
    <mergeCell ref="U20:V20"/>
    <mergeCell ref="A22:B25"/>
    <mergeCell ref="C22:D22"/>
    <mergeCell ref="E22:F22"/>
    <mergeCell ref="G22:H22"/>
    <mergeCell ref="I22:J22"/>
    <mergeCell ref="M19:N19"/>
    <mergeCell ref="O19:P19"/>
    <mergeCell ref="Q19:R19"/>
    <mergeCell ref="S19:T19"/>
    <mergeCell ref="U19:V19"/>
    <mergeCell ref="C20:D20"/>
    <mergeCell ref="E20:F20"/>
    <mergeCell ref="G20:H20"/>
    <mergeCell ref="I20:J20"/>
    <mergeCell ref="K20:L20"/>
    <mergeCell ref="M18:N18"/>
    <mergeCell ref="O18:P18"/>
    <mergeCell ref="Q18:R18"/>
    <mergeCell ref="S18:T18"/>
    <mergeCell ref="U18:V18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U17:V17"/>
    <mergeCell ref="C18:D18"/>
    <mergeCell ref="E18:F18"/>
    <mergeCell ref="G18:H18"/>
    <mergeCell ref="I18:J18"/>
    <mergeCell ref="K18:L18"/>
    <mergeCell ref="O15:P15"/>
    <mergeCell ref="Q15:R15"/>
    <mergeCell ref="S15:T15"/>
    <mergeCell ref="U15:V15"/>
    <mergeCell ref="A17:B20"/>
    <mergeCell ref="C17:D17"/>
    <mergeCell ref="E17:F17"/>
    <mergeCell ref="G17:H17"/>
    <mergeCell ref="I17:J17"/>
    <mergeCell ref="K17:L17"/>
    <mergeCell ref="O14:P14"/>
    <mergeCell ref="Q14:R14"/>
    <mergeCell ref="S14:T14"/>
    <mergeCell ref="U14:V14"/>
    <mergeCell ref="C15:D15"/>
    <mergeCell ref="E15:F15"/>
    <mergeCell ref="G15:H15"/>
    <mergeCell ref="I15:J15"/>
    <mergeCell ref="K15:L15"/>
    <mergeCell ref="M15:N15"/>
    <mergeCell ref="O13:P13"/>
    <mergeCell ref="Q13:R13"/>
    <mergeCell ref="S13:T13"/>
    <mergeCell ref="U13:V13"/>
    <mergeCell ref="C14:D14"/>
    <mergeCell ref="E14:F14"/>
    <mergeCell ref="G14:H14"/>
    <mergeCell ref="I14:J14"/>
    <mergeCell ref="K14:L14"/>
    <mergeCell ref="M14:N14"/>
    <mergeCell ref="C13:D13"/>
    <mergeCell ref="E13:F13"/>
    <mergeCell ref="G13:H13"/>
    <mergeCell ref="I13:J13"/>
    <mergeCell ref="K13:L13"/>
    <mergeCell ref="M13:N13"/>
    <mergeCell ref="K12:L12"/>
    <mergeCell ref="M12:N12"/>
    <mergeCell ref="O12:P12"/>
    <mergeCell ref="Q12:R12"/>
    <mergeCell ref="S12:T12"/>
    <mergeCell ref="U12:V12"/>
    <mergeCell ref="M10:N10"/>
    <mergeCell ref="O10:P10"/>
    <mergeCell ref="Q10:R10"/>
    <mergeCell ref="S10:T10"/>
    <mergeCell ref="U10:V10"/>
    <mergeCell ref="A12:B15"/>
    <mergeCell ref="C12:D12"/>
    <mergeCell ref="E12:F12"/>
    <mergeCell ref="G12:H12"/>
    <mergeCell ref="I12:J12"/>
    <mergeCell ref="M9:N9"/>
    <mergeCell ref="O9:P9"/>
    <mergeCell ref="Q9:R9"/>
    <mergeCell ref="S9:T9"/>
    <mergeCell ref="U9:V9"/>
    <mergeCell ref="C10:D10"/>
    <mergeCell ref="E10:F10"/>
    <mergeCell ref="G10:H10"/>
    <mergeCell ref="I10:J10"/>
    <mergeCell ref="K10:L10"/>
    <mergeCell ref="M8:N8"/>
    <mergeCell ref="O8:P8"/>
    <mergeCell ref="Q8:R8"/>
    <mergeCell ref="S8:T8"/>
    <mergeCell ref="U8:V8"/>
    <mergeCell ref="C9:D9"/>
    <mergeCell ref="E9:F9"/>
    <mergeCell ref="G9:H9"/>
    <mergeCell ref="I9:J9"/>
    <mergeCell ref="K9:L9"/>
    <mergeCell ref="M7:N7"/>
    <mergeCell ref="O7:P7"/>
    <mergeCell ref="Q7:R7"/>
    <mergeCell ref="S7:T7"/>
    <mergeCell ref="U7:V7"/>
    <mergeCell ref="C8:D8"/>
    <mergeCell ref="E8:F8"/>
    <mergeCell ref="G8:H8"/>
    <mergeCell ref="I8:J8"/>
    <mergeCell ref="K8:L8"/>
    <mergeCell ref="O5:P5"/>
    <mergeCell ref="Q5:R5"/>
    <mergeCell ref="S5:T5"/>
    <mergeCell ref="U5:V5"/>
    <mergeCell ref="A7:B10"/>
    <mergeCell ref="C7:D7"/>
    <mergeCell ref="E7:F7"/>
    <mergeCell ref="G7:H7"/>
    <mergeCell ref="I7:J7"/>
    <mergeCell ref="K7:L7"/>
    <mergeCell ref="O4:P4"/>
    <mergeCell ref="Q4:R4"/>
    <mergeCell ref="S4:T4"/>
    <mergeCell ref="U4:V4"/>
    <mergeCell ref="C5:D5"/>
    <mergeCell ref="E5:F5"/>
    <mergeCell ref="G5:H5"/>
    <mergeCell ref="I5:J5"/>
    <mergeCell ref="K5:L5"/>
    <mergeCell ref="M5:N5"/>
    <mergeCell ref="O3:P3"/>
    <mergeCell ref="Q3:R3"/>
    <mergeCell ref="S3:T3"/>
    <mergeCell ref="U3:V3"/>
    <mergeCell ref="C4:D4"/>
    <mergeCell ref="E4:F4"/>
    <mergeCell ref="G4:H4"/>
    <mergeCell ref="I4:J4"/>
    <mergeCell ref="K4:L4"/>
    <mergeCell ref="M4:N4"/>
    <mergeCell ref="C3:D3"/>
    <mergeCell ref="E3:F3"/>
    <mergeCell ref="G3:H3"/>
    <mergeCell ref="I3:J3"/>
    <mergeCell ref="K3:L3"/>
    <mergeCell ref="M3:N3"/>
    <mergeCell ref="K2:L2"/>
    <mergeCell ref="M2:N2"/>
    <mergeCell ref="O2:P2"/>
    <mergeCell ref="Q2:R2"/>
    <mergeCell ref="S2:T2"/>
    <mergeCell ref="U2:V2"/>
    <mergeCell ref="C1:F1"/>
    <mergeCell ref="G1:J1"/>
    <mergeCell ref="K1:N1"/>
    <mergeCell ref="O1:R1"/>
    <mergeCell ref="S1:V1"/>
    <mergeCell ref="A2:B5"/>
    <mergeCell ref="C2:D2"/>
    <mergeCell ref="E2:F2"/>
    <mergeCell ref="G2:H2"/>
    <mergeCell ref="I2:J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workbookViewId="0">
      <selection sqref="A1:V40"/>
    </sheetView>
  </sheetViews>
  <sheetFormatPr defaultRowHeight="16.5"/>
  <sheetData>
    <row r="1" spans="1:22">
      <c r="A1" s="9"/>
      <c r="B1" s="9"/>
      <c r="C1" s="1" t="s">
        <v>11</v>
      </c>
      <c r="D1" s="1"/>
      <c r="E1" s="1"/>
      <c r="F1" s="1"/>
      <c r="G1" s="1" t="s">
        <v>12</v>
      </c>
      <c r="H1" s="1"/>
      <c r="I1" s="1"/>
      <c r="J1" s="1"/>
      <c r="K1" s="1" t="s">
        <v>13</v>
      </c>
      <c r="L1" s="1"/>
      <c r="M1" s="1"/>
      <c r="N1" s="1"/>
      <c r="O1" s="1" t="s">
        <v>14</v>
      </c>
      <c r="P1" s="1"/>
      <c r="Q1" s="1"/>
      <c r="R1" s="1"/>
      <c r="S1" s="1" t="s">
        <v>15</v>
      </c>
      <c r="T1" s="1"/>
      <c r="U1" s="1"/>
      <c r="V1" s="1"/>
    </row>
    <row r="2" spans="1:22">
      <c r="A2" s="1" t="s">
        <v>0</v>
      </c>
      <c r="B2" s="1"/>
      <c r="C2" s="2" t="s">
        <v>1</v>
      </c>
      <c r="D2" s="2"/>
      <c r="E2" s="2" t="s">
        <v>2</v>
      </c>
      <c r="F2" s="2"/>
      <c r="G2" s="3" t="s">
        <v>1</v>
      </c>
      <c r="H2" s="3"/>
      <c r="I2" s="3" t="s">
        <v>2</v>
      </c>
      <c r="J2" s="3"/>
      <c r="K2" s="4" t="s">
        <v>1</v>
      </c>
      <c r="L2" s="4"/>
      <c r="M2" s="4" t="s">
        <v>2</v>
      </c>
      <c r="N2" s="4"/>
      <c r="O2" s="5" t="s">
        <v>1</v>
      </c>
      <c r="P2" s="5"/>
      <c r="Q2" s="5" t="s">
        <v>2</v>
      </c>
      <c r="R2" s="5"/>
      <c r="S2" s="12" t="s">
        <v>1</v>
      </c>
      <c r="T2" s="12"/>
      <c r="U2" s="12" t="s">
        <v>2</v>
      </c>
      <c r="V2" s="12"/>
    </row>
    <row r="3" spans="1:22">
      <c r="A3" s="1"/>
      <c r="B3" s="1"/>
      <c r="C3" s="6">
        <v>4.3351189557613197E-2</v>
      </c>
      <c r="D3" s="6"/>
      <c r="E3" s="6">
        <v>34.227229999999999</v>
      </c>
      <c r="F3" s="6"/>
      <c r="G3" s="6">
        <v>1.5595704732510301E-2</v>
      </c>
      <c r="H3" s="6"/>
      <c r="I3" s="6">
        <v>33.848770000000002</v>
      </c>
      <c r="J3" s="6"/>
      <c r="K3" s="6">
        <v>7.4498392489711898E-3</v>
      </c>
      <c r="L3" s="6"/>
      <c r="M3" s="6">
        <v>33.369197999999997</v>
      </c>
      <c r="N3" s="6"/>
      <c r="O3" s="6">
        <v>3.6822916666666701E-3</v>
      </c>
      <c r="P3" s="6"/>
      <c r="Q3" s="6">
        <v>32.660010999999997</v>
      </c>
      <c r="R3" s="6"/>
      <c r="S3" s="6">
        <v>1.9090470679012301E-3</v>
      </c>
      <c r="T3" s="6"/>
      <c r="U3" s="6">
        <v>31.749953999999999</v>
      </c>
      <c r="V3" s="6"/>
    </row>
    <row r="4" spans="1:22">
      <c r="A4" s="1"/>
      <c r="B4" s="1"/>
      <c r="C4" s="2" t="s">
        <v>1</v>
      </c>
      <c r="D4" s="2"/>
      <c r="E4" s="2" t="s">
        <v>3</v>
      </c>
      <c r="F4" s="2"/>
      <c r="G4" s="3" t="s">
        <v>1</v>
      </c>
      <c r="H4" s="3"/>
      <c r="I4" s="3" t="s">
        <v>3</v>
      </c>
      <c r="J4" s="3"/>
      <c r="K4" s="4" t="s">
        <v>1</v>
      </c>
      <c r="L4" s="4"/>
      <c r="M4" s="4" t="s">
        <v>3</v>
      </c>
      <c r="N4" s="4"/>
      <c r="O4" s="5" t="s">
        <v>1</v>
      </c>
      <c r="P4" s="5"/>
      <c r="Q4" s="5" t="s">
        <v>3</v>
      </c>
      <c r="R4" s="5"/>
      <c r="S4" s="12" t="s">
        <v>1</v>
      </c>
      <c r="T4" s="12"/>
      <c r="U4" s="12" t="s">
        <v>3</v>
      </c>
      <c r="V4" s="12"/>
    </row>
    <row r="5" spans="1:22">
      <c r="A5" s="1"/>
      <c r="B5" s="1"/>
      <c r="C5" s="8"/>
      <c r="D5" s="8"/>
      <c r="E5" s="6">
        <v>0.90658499999999997</v>
      </c>
      <c r="F5" s="6"/>
      <c r="G5" s="8"/>
      <c r="H5" s="8"/>
      <c r="I5" s="6">
        <v>0.90064999999999995</v>
      </c>
      <c r="J5" s="6"/>
      <c r="K5" s="8"/>
      <c r="L5" s="8"/>
      <c r="M5" s="6">
        <v>0.89373499999999995</v>
      </c>
      <c r="N5" s="6"/>
      <c r="O5" s="8"/>
      <c r="P5" s="8"/>
      <c r="Q5" s="6">
        <v>0.88270199999999999</v>
      </c>
      <c r="R5" s="6"/>
      <c r="S5" s="8"/>
      <c r="T5" s="8"/>
      <c r="U5" s="6">
        <v>0.86831700000000001</v>
      </c>
      <c r="V5" s="6"/>
    </row>
    <row r="6" spans="1:2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1" t="s">
        <v>4</v>
      </c>
      <c r="B7" s="1"/>
      <c r="C7" s="2" t="s">
        <v>1</v>
      </c>
      <c r="D7" s="2"/>
      <c r="E7" s="2" t="s">
        <v>2</v>
      </c>
      <c r="F7" s="2"/>
      <c r="G7" s="3" t="s">
        <v>1</v>
      </c>
      <c r="H7" s="3"/>
      <c r="I7" s="3" t="s">
        <v>2</v>
      </c>
      <c r="J7" s="3"/>
      <c r="K7" s="4" t="s">
        <v>1</v>
      </c>
      <c r="L7" s="4"/>
      <c r="M7" s="4" t="s">
        <v>2</v>
      </c>
      <c r="N7" s="4"/>
      <c r="O7" s="5" t="s">
        <v>1</v>
      </c>
      <c r="P7" s="5"/>
      <c r="Q7" s="5" t="s">
        <v>2</v>
      </c>
      <c r="R7" s="5"/>
      <c r="S7" s="12" t="s">
        <v>1</v>
      </c>
      <c r="T7" s="12"/>
      <c r="U7" s="12" t="s">
        <v>2</v>
      </c>
      <c r="V7" s="12"/>
    </row>
    <row r="8" spans="1:22">
      <c r="A8" s="1"/>
      <c r="B8" s="1"/>
      <c r="C8" s="6">
        <v>4.4956693672839498E-2</v>
      </c>
      <c r="D8" s="6"/>
      <c r="E8" s="6">
        <v>40.014282000000001</v>
      </c>
      <c r="F8" s="6"/>
      <c r="G8" s="6">
        <v>1.91516782407407E-2</v>
      </c>
      <c r="H8" s="6"/>
      <c r="I8" s="6">
        <v>38.072375999999998</v>
      </c>
      <c r="J8" s="6"/>
      <c r="K8" s="6">
        <v>8.7203703703703696E-3</v>
      </c>
      <c r="L8" s="6"/>
      <c r="M8" s="6">
        <v>36.024417999999997</v>
      </c>
      <c r="N8" s="6"/>
      <c r="O8" s="6">
        <v>4.07037037037037E-3</v>
      </c>
      <c r="P8" s="6"/>
      <c r="Q8" s="6">
        <v>34.049767000000003</v>
      </c>
      <c r="R8" s="6"/>
      <c r="S8" s="6">
        <v>2.0086612654321E-3</v>
      </c>
      <c r="T8" s="6"/>
      <c r="U8" s="6">
        <v>32.351275999999999</v>
      </c>
      <c r="V8" s="6"/>
    </row>
    <row r="9" spans="1:22">
      <c r="A9" s="1"/>
      <c r="B9" s="1"/>
      <c r="C9" s="2" t="s">
        <v>1</v>
      </c>
      <c r="D9" s="2"/>
      <c r="E9" s="2" t="s">
        <v>3</v>
      </c>
      <c r="F9" s="2"/>
      <c r="G9" s="3" t="s">
        <v>1</v>
      </c>
      <c r="H9" s="3"/>
      <c r="I9" s="3" t="s">
        <v>3</v>
      </c>
      <c r="J9" s="3"/>
      <c r="K9" s="4" t="s">
        <v>1</v>
      </c>
      <c r="L9" s="4"/>
      <c r="M9" s="4" t="s">
        <v>3</v>
      </c>
      <c r="N9" s="4"/>
      <c r="O9" s="5" t="s">
        <v>1</v>
      </c>
      <c r="P9" s="5"/>
      <c r="Q9" s="5" t="s">
        <v>3</v>
      </c>
      <c r="R9" s="5"/>
      <c r="S9" s="12" t="s">
        <v>1</v>
      </c>
      <c r="T9" s="12"/>
      <c r="U9" s="12" t="s">
        <v>3</v>
      </c>
      <c r="V9" s="12"/>
    </row>
    <row r="10" spans="1:22">
      <c r="A10" s="1"/>
      <c r="B10" s="1"/>
      <c r="C10" s="8"/>
      <c r="D10" s="8"/>
      <c r="E10" s="6">
        <v>0.98319400000000001</v>
      </c>
      <c r="F10" s="6"/>
      <c r="G10" s="8"/>
      <c r="H10" s="8"/>
      <c r="I10" s="6">
        <v>0.97486899999999999</v>
      </c>
      <c r="J10" s="6"/>
      <c r="K10" s="8"/>
      <c r="L10" s="8"/>
      <c r="M10" s="6">
        <v>0.96127200000000002</v>
      </c>
      <c r="N10" s="6"/>
      <c r="O10" s="8"/>
      <c r="P10" s="8"/>
      <c r="Q10" s="6">
        <v>0.94159700000000002</v>
      </c>
      <c r="R10" s="6"/>
      <c r="S10" s="8"/>
      <c r="T10" s="8"/>
      <c r="U10" s="6">
        <v>0.91620400000000002</v>
      </c>
      <c r="V10" s="6"/>
    </row>
    <row r="11" spans="1:2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1" t="s">
        <v>5</v>
      </c>
      <c r="B12" s="1"/>
      <c r="C12" s="2" t="s">
        <v>1</v>
      </c>
      <c r="D12" s="2"/>
      <c r="E12" s="2" t="s">
        <v>2</v>
      </c>
      <c r="F12" s="2"/>
      <c r="G12" s="3" t="s">
        <v>1</v>
      </c>
      <c r="H12" s="3"/>
      <c r="I12" s="3" t="s">
        <v>2</v>
      </c>
      <c r="J12" s="3"/>
      <c r="K12" s="4" t="s">
        <v>1</v>
      </c>
      <c r="L12" s="4"/>
      <c r="M12" s="4" t="s">
        <v>2</v>
      </c>
      <c r="N12" s="4"/>
      <c r="O12" s="5" t="s">
        <v>1</v>
      </c>
      <c r="P12" s="5"/>
      <c r="Q12" s="5" t="s">
        <v>2</v>
      </c>
      <c r="R12" s="5"/>
      <c r="S12" s="12" t="s">
        <v>1</v>
      </c>
      <c r="T12" s="12"/>
      <c r="U12" s="12" t="s">
        <v>2</v>
      </c>
      <c r="V12" s="12"/>
    </row>
    <row r="13" spans="1:22">
      <c r="A13" s="1"/>
      <c r="B13" s="1"/>
      <c r="C13" s="6">
        <v>1.8797884516460899E-2</v>
      </c>
      <c r="D13" s="6"/>
      <c r="E13" s="6">
        <v>38.242122999999999</v>
      </c>
      <c r="F13" s="6"/>
      <c r="G13" s="6">
        <v>1.0949035493827201E-2</v>
      </c>
      <c r="H13" s="6"/>
      <c r="I13" s="6">
        <v>37.185696</v>
      </c>
      <c r="J13" s="6"/>
      <c r="K13" s="6">
        <v>6.6708204732510304E-3</v>
      </c>
      <c r="L13" s="6"/>
      <c r="M13" s="6">
        <v>35.542648</v>
      </c>
      <c r="N13" s="6"/>
      <c r="O13" s="6">
        <v>4.1688593106995898E-3</v>
      </c>
      <c r="P13" s="6"/>
      <c r="Q13" s="6">
        <v>33.612288999999997</v>
      </c>
      <c r="R13" s="6"/>
      <c r="S13" s="6">
        <v>2.76217206790123E-3</v>
      </c>
      <c r="T13" s="6"/>
      <c r="U13" s="6">
        <v>31.888822999999999</v>
      </c>
      <c r="V13" s="6"/>
    </row>
    <row r="14" spans="1:22">
      <c r="A14" s="1"/>
      <c r="B14" s="1"/>
      <c r="C14" s="2" t="s">
        <v>1</v>
      </c>
      <c r="D14" s="2"/>
      <c r="E14" s="2" t="s">
        <v>3</v>
      </c>
      <c r="F14" s="2"/>
      <c r="G14" s="3" t="s">
        <v>1</v>
      </c>
      <c r="H14" s="3"/>
      <c r="I14" s="3" t="s">
        <v>3</v>
      </c>
      <c r="J14" s="3"/>
      <c r="K14" s="4" t="s">
        <v>1</v>
      </c>
      <c r="L14" s="4"/>
      <c r="M14" s="4" t="s">
        <v>3</v>
      </c>
      <c r="N14" s="4"/>
      <c r="O14" s="5" t="s">
        <v>1</v>
      </c>
      <c r="P14" s="5"/>
      <c r="Q14" s="5" t="s">
        <v>3</v>
      </c>
      <c r="R14" s="5"/>
      <c r="S14" s="12" t="s">
        <v>1</v>
      </c>
      <c r="T14" s="12"/>
      <c r="U14" s="12" t="s">
        <v>3</v>
      </c>
      <c r="V14" s="12"/>
    </row>
    <row r="15" spans="1:22">
      <c r="A15" s="1"/>
      <c r="B15" s="1"/>
      <c r="C15" s="8"/>
      <c r="D15" s="8"/>
      <c r="E15" s="6">
        <v>0.98124999999999996</v>
      </c>
      <c r="F15" s="6"/>
      <c r="G15" s="8"/>
      <c r="H15" s="8"/>
      <c r="I15" s="6">
        <v>0.97770900000000005</v>
      </c>
      <c r="J15" s="6"/>
      <c r="K15" s="8"/>
      <c r="L15" s="8"/>
      <c r="M15" s="6">
        <v>0.97049600000000003</v>
      </c>
      <c r="N15" s="6"/>
      <c r="O15" s="8"/>
      <c r="P15" s="8"/>
      <c r="Q15" s="6">
        <v>0.95848199999999995</v>
      </c>
      <c r="R15" s="6"/>
      <c r="S15" s="8"/>
      <c r="T15" s="8"/>
      <c r="U15" s="6">
        <v>0.94212600000000002</v>
      </c>
      <c r="V15" s="6"/>
    </row>
    <row r="16" spans="1:2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>
      <c r="A17" s="1" t="s">
        <v>6</v>
      </c>
      <c r="B17" s="1"/>
      <c r="C17" s="2" t="s">
        <v>1</v>
      </c>
      <c r="D17" s="2"/>
      <c r="E17" s="2" t="s">
        <v>2</v>
      </c>
      <c r="F17" s="2"/>
      <c r="G17" s="3" t="s">
        <v>1</v>
      </c>
      <c r="H17" s="3"/>
      <c r="I17" s="3" t="s">
        <v>2</v>
      </c>
      <c r="J17" s="3"/>
      <c r="K17" s="4" t="s">
        <v>1</v>
      </c>
      <c r="L17" s="4"/>
      <c r="M17" s="4" t="s">
        <v>2</v>
      </c>
      <c r="N17" s="4"/>
      <c r="O17" s="5" t="s">
        <v>1</v>
      </c>
      <c r="P17" s="5"/>
      <c r="Q17" s="5" t="s">
        <v>2</v>
      </c>
      <c r="R17" s="5"/>
      <c r="S17" s="12" t="s">
        <v>1</v>
      </c>
      <c r="T17" s="12"/>
      <c r="U17" s="12" t="s">
        <v>2</v>
      </c>
      <c r="V17" s="12"/>
    </row>
    <row r="18" spans="1:22">
      <c r="A18" s="1"/>
      <c r="B18" s="1"/>
      <c r="C18" s="6">
        <v>3.7579938271604899E-2</v>
      </c>
      <c r="D18" s="6"/>
      <c r="E18" s="6">
        <v>38.310631000000001</v>
      </c>
      <c r="F18" s="6"/>
      <c r="G18" s="6">
        <v>1.8197498713991799E-2</v>
      </c>
      <c r="H18" s="6"/>
      <c r="I18" s="6">
        <v>37.190646999999998</v>
      </c>
      <c r="J18" s="6"/>
      <c r="K18" s="6">
        <v>1.0248308899177E-2</v>
      </c>
      <c r="L18" s="6"/>
      <c r="M18" s="6">
        <v>35.854649000000002</v>
      </c>
      <c r="N18" s="6"/>
      <c r="O18" s="6">
        <v>5.8992219650205796E-3</v>
      </c>
      <c r="P18" s="6"/>
      <c r="Q18" s="6">
        <v>34.224949000000002</v>
      </c>
      <c r="R18" s="6"/>
      <c r="S18" s="6">
        <v>3.4324202674897099E-3</v>
      </c>
      <c r="T18" s="6"/>
      <c r="U18" s="6">
        <v>32.368819999999999</v>
      </c>
      <c r="V18" s="6"/>
    </row>
    <row r="19" spans="1:22">
      <c r="A19" s="1"/>
      <c r="B19" s="1"/>
      <c r="C19" s="2" t="s">
        <v>1</v>
      </c>
      <c r="D19" s="2"/>
      <c r="E19" s="2" t="s">
        <v>3</v>
      </c>
      <c r="F19" s="2"/>
      <c r="G19" s="3" t="s">
        <v>1</v>
      </c>
      <c r="H19" s="3"/>
      <c r="I19" s="3" t="s">
        <v>3</v>
      </c>
      <c r="J19" s="3"/>
      <c r="K19" s="4" t="s">
        <v>1</v>
      </c>
      <c r="L19" s="4"/>
      <c r="M19" s="4" t="s">
        <v>3</v>
      </c>
      <c r="N19" s="4"/>
      <c r="O19" s="5" t="s">
        <v>1</v>
      </c>
      <c r="P19" s="5"/>
      <c r="Q19" s="5" t="s">
        <v>3</v>
      </c>
      <c r="R19" s="5"/>
      <c r="S19" s="12" t="s">
        <v>1</v>
      </c>
      <c r="T19" s="12"/>
      <c r="U19" s="12" t="s">
        <v>3</v>
      </c>
      <c r="V19" s="12"/>
    </row>
    <row r="20" spans="1:22">
      <c r="A20" s="1"/>
      <c r="B20" s="1"/>
      <c r="C20" s="8"/>
      <c r="D20" s="8"/>
      <c r="E20" s="6">
        <v>0.96734500000000001</v>
      </c>
      <c r="F20" s="6"/>
      <c r="G20" s="8"/>
      <c r="H20" s="8"/>
      <c r="I20" s="6">
        <v>0.95996800000000004</v>
      </c>
      <c r="J20" s="6"/>
      <c r="K20" s="8"/>
      <c r="L20" s="8"/>
      <c r="M20" s="6">
        <v>0.94906599999999997</v>
      </c>
      <c r="N20" s="6"/>
      <c r="O20" s="8"/>
      <c r="P20" s="8"/>
      <c r="Q20" s="6">
        <v>0.93137700000000001</v>
      </c>
      <c r="R20" s="6"/>
      <c r="S20" s="8"/>
      <c r="T20" s="8"/>
      <c r="U20" s="6">
        <v>0.90455700000000006</v>
      </c>
      <c r="V20" s="6"/>
    </row>
    <row r="21" spans="1:2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>
      <c r="A22" s="1" t="s">
        <v>7</v>
      </c>
      <c r="B22" s="1"/>
      <c r="C22" s="2" t="s">
        <v>1</v>
      </c>
      <c r="D22" s="2"/>
      <c r="E22" s="2" t="s">
        <v>2</v>
      </c>
      <c r="F22" s="2"/>
      <c r="G22" s="3" t="s">
        <v>1</v>
      </c>
      <c r="H22" s="3"/>
      <c r="I22" s="3" t="s">
        <v>2</v>
      </c>
      <c r="J22" s="3"/>
      <c r="K22" s="4" t="s">
        <v>1</v>
      </c>
      <c r="L22" s="4"/>
      <c r="M22" s="4" t="s">
        <v>2</v>
      </c>
      <c r="N22" s="4"/>
      <c r="O22" s="5" t="s">
        <v>1</v>
      </c>
      <c r="P22" s="5"/>
      <c r="Q22" s="5" t="s">
        <v>2</v>
      </c>
      <c r="R22" s="5"/>
      <c r="S22" s="12" t="s">
        <v>1</v>
      </c>
      <c r="T22" s="12"/>
      <c r="U22" s="12" t="s">
        <v>2</v>
      </c>
      <c r="V22" s="12"/>
    </row>
    <row r="23" spans="1:22">
      <c r="A23" s="1"/>
      <c r="B23" s="1"/>
      <c r="C23" s="6">
        <v>9.2608314043209905E-2</v>
      </c>
      <c r="D23" s="6"/>
      <c r="E23" s="6">
        <v>38.783999999999999</v>
      </c>
      <c r="F23" s="6"/>
      <c r="G23" s="6">
        <v>4.74245177469136E-2</v>
      </c>
      <c r="H23" s="6"/>
      <c r="I23" s="6">
        <v>36.433571000000001</v>
      </c>
      <c r="J23" s="6"/>
      <c r="K23" s="6">
        <v>2.60808641975309E-2</v>
      </c>
      <c r="L23" s="6"/>
      <c r="M23" s="6">
        <v>34.009765999999999</v>
      </c>
      <c r="N23" s="6"/>
      <c r="O23" s="6">
        <v>1.43092721193416E-2</v>
      </c>
      <c r="P23" s="6"/>
      <c r="Q23" s="6">
        <v>31.574988999999999</v>
      </c>
      <c r="R23" s="6"/>
      <c r="S23" s="6">
        <v>7.78182227366255E-3</v>
      </c>
      <c r="T23" s="6"/>
      <c r="U23" s="6">
        <v>29.27956</v>
      </c>
      <c r="V23" s="6"/>
    </row>
    <row r="24" spans="1:22">
      <c r="A24" s="1"/>
      <c r="B24" s="1"/>
      <c r="C24" s="2" t="s">
        <v>1</v>
      </c>
      <c r="D24" s="2"/>
      <c r="E24" s="2" t="s">
        <v>3</v>
      </c>
      <c r="F24" s="2"/>
      <c r="G24" s="3" t="s">
        <v>1</v>
      </c>
      <c r="H24" s="3"/>
      <c r="I24" s="3" t="s">
        <v>3</v>
      </c>
      <c r="J24" s="3"/>
      <c r="K24" s="4" t="s">
        <v>1</v>
      </c>
      <c r="L24" s="4"/>
      <c r="M24" s="4" t="s">
        <v>3</v>
      </c>
      <c r="N24" s="4"/>
      <c r="O24" s="5" t="s">
        <v>1</v>
      </c>
      <c r="P24" s="5"/>
      <c r="Q24" s="5" t="s">
        <v>3</v>
      </c>
      <c r="R24" s="5"/>
      <c r="S24" s="12" t="s">
        <v>1</v>
      </c>
      <c r="T24" s="12"/>
      <c r="U24" s="12" t="s">
        <v>3</v>
      </c>
      <c r="V24" s="12"/>
    </row>
    <row r="25" spans="1:22">
      <c r="A25" s="1"/>
      <c r="B25" s="1"/>
      <c r="C25" s="8"/>
      <c r="D25" s="8"/>
      <c r="E25" s="6">
        <v>0.987819</v>
      </c>
      <c r="F25" s="6"/>
      <c r="G25" s="8"/>
      <c r="H25" s="8"/>
      <c r="I25" s="6">
        <v>0.98184899999999997</v>
      </c>
      <c r="J25" s="6"/>
      <c r="K25" s="8"/>
      <c r="L25" s="8"/>
      <c r="M25" s="6">
        <v>0.97188099999999999</v>
      </c>
      <c r="N25" s="6"/>
      <c r="O25" s="8"/>
      <c r="P25" s="8"/>
      <c r="Q25" s="6">
        <v>0.95524299999999995</v>
      </c>
      <c r="R25" s="6"/>
      <c r="S25" s="8"/>
      <c r="T25" s="8"/>
      <c r="U25" s="6">
        <v>0.92972900000000003</v>
      </c>
      <c r="V25" s="6"/>
    </row>
    <row r="26" spans="1:2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>
      <c r="A27" s="1" t="s">
        <v>8</v>
      </c>
      <c r="B27" s="1"/>
      <c r="C27" s="2" t="s">
        <v>1</v>
      </c>
      <c r="D27" s="2"/>
      <c r="E27" s="2" t="s">
        <v>2</v>
      </c>
      <c r="F27" s="2"/>
      <c r="G27" s="3" t="s">
        <v>1</v>
      </c>
      <c r="H27" s="3"/>
      <c r="I27" s="3" t="s">
        <v>2</v>
      </c>
      <c r="J27" s="3"/>
      <c r="K27" s="4" t="s">
        <v>1</v>
      </c>
      <c r="L27" s="4"/>
      <c r="M27" s="4" t="s">
        <v>2</v>
      </c>
      <c r="N27" s="4"/>
      <c r="O27" s="5" t="s">
        <v>1</v>
      </c>
      <c r="P27" s="5"/>
      <c r="Q27" s="5" t="s">
        <v>2</v>
      </c>
      <c r="R27" s="5"/>
      <c r="S27" s="12" t="s">
        <v>1</v>
      </c>
      <c r="T27" s="12"/>
      <c r="U27" s="12" t="s">
        <v>2</v>
      </c>
      <c r="V27" s="12"/>
    </row>
    <row r="28" spans="1:22">
      <c r="A28" s="1"/>
      <c r="B28" s="1"/>
      <c r="C28" s="6">
        <v>0.10750534979423899</v>
      </c>
      <c r="D28" s="6"/>
      <c r="E28" s="6">
        <v>37.082863000000003</v>
      </c>
      <c r="F28" s="6"/>
      <c r="G28" s="6">
        <v>4.3896424897119299E-2</v>
      </c>
      <c r="H28" s="6"/>
      <c r="I28" s="6">
        <v>35.234081000000003</v>
      </c>
      <c r="J28" s="6"/>
      <c r="K28" s="6">
        <v>1.8056352880658402E-2</v>
      </c>
      <c r="L28" s="6"/>
      <c r="M28" s="6">
        <v>33.326050000000002</v>
      </c>
      <c r="N28" s="6"/>
      <c r="O28" s="6">
        <v>7.6046039094650204E-3</v>
      </c>
      <c r="P28" s="6"/>
      <c r="Q28" s="6">
        <v>31.579075</v>
      </c>
      <c r="R28" s="6"/>
      <c r="S28" s="6">
        <v>3.8423996913580301E-3</v>
      </c>
      <c r="T28" s="6"/>
      <c r="U28" s="6">
        <v>30.073181000000002</v>
      </c>
      <c r="V28" s="6"/>
    </row>
    <row r="29" spans="1:22">
      <c r="A29" s="1"/>
      <c r="B29" s="1"/>
      <c r="C29" s="2" t="s">
        <v>1</v>
      </c>
      <c r="D29" s="2"/>
      <c r="E29" s="2" t="s">
        <v>3</v>
      </c>
      <c r="F29" s="2"/>
      <c r="G29" s="3" t="s">
        <v>1</v>
      </c>
      <c r="H29" s="3"/>
      <c r="I29" s="3" t="s">
        <v>3</v>
      </c>
      <c r="J29" s="3"/>
      <c r="K29" s="4" t="s">
        <v>1</v>
      </c>
      <c r="L29" s="4"/>
      <c r="M29" s="4" t="s">
        <v>3</v>
      </c>
      <c r="N29" s="4"/>
      <c r="O29" s="5" t="s">
        <v>1</v>
      </c>
      <c r="P29" s="5"/>
      <c r="Q29" s="5" t="s">
        <v>3</v>
      </c>
      <c r="R29" s="5"/>
      <c r="S29" s="12" t="s">
        <v>1</v>
      </c>
      <c r="T29" s="12"/>
      <c r="U29" s="12" t="s">
        <v>3</v>
      </c>
      <c r="V29" s="12"/>
    </row>
    <row r="30" spans="1:22">
      <c r="A30" s="1"/>
      <c r="B30" s="1"/>
      <c r="C30" s="9"/>
      <c r="D30" s="9"/>
      <c r="E30" s="6">
        <v>0.973576</v>
      </c>
      <c r="F30" s="6"/>
      <c r="G30" s="9"/>
      <c r="H30" s="9"/>
      <c r="I30" s="6">
        <v>0.95923199999999997</v>
      </c>
      <c r="J30" s="6"/>
      <c r="K30" s="9"/>
      <c r="L30" s="9"/>
      <c r="M30" s="6">
        <v>0.93578499999999998</v>
      </c>
      <c r="N30" s="6"/>
      <c r="O30" s="9"/>
      <c r="P30" s="9"/>
      <c r="Q30" s="10">
        <v>0.90582700000000005</v>
      </c>
      <c r="R30" s="10"/>
      <c r="S30" s="9"/>
      <c r="T30" s="9"/>
      <c r="U30" s="6">
        <v>0.87632399999999999</v>
      </c>
      <c r="V30" s="6"/>
    </row>
    <row r="31" spans="1:2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>
      <c r="A32" s="1" t="s">
        <v>9</v>
      </c>
      <c r="B32" s="1"/>
      <c r="C32" s="2" t="s">
        <v>1</v>
      </c>
      <c r="D32" s="2"/>
      <c r="E32" s="2" t="s">
        <v>2</v>
      </c>
      <c r="F32" s="2"/>
      <c r="G32" s="3" t="s">
        <v>1</v>
      </c>
      <c r="H32" s="3"/>
      <c r="I32" s="3" t="s">
        <v>2</v>
      </c>
      <c r="J32" s="3"/>
      <c r="K32" s="4" t="s">
        <v>1</v>
      </c>
      <c r="L32" s="4"/>
      <c r="M32" s="4" t="s">
        <v>2</v>
      </c>
      <c r="N32" s="4"/>
      <c r="O32" s="5" t="s">
        <v>1</v>
      </c>
      <c r="P32" s="5"/>
      <c r="Q32" s="5" t="s">
        <v>2</v>
      </c>
      <c r="R32" s="5"/>
      <c r="S32" s="12" t="s">
        <v>1</v>
      </c>
      <c r="T32" s="12"/>
      <c r="U32" s="12" t="s">
        <v>2</v>
      </c>
      <c r="V32" s="12"/>
    </row>
    <row r="33" spans="1:22">
      <c r="A33" s="1"/>
      <c r="B33" s="1"/>
      <c r="C33" s="6">
        <v>0.16623631044238699</v>
      </c>
      <c r="D33" s="6"/>
      <c r="E33" s="6">
        <v>38.273705</v>
      </c>
      <c r="F33" s="6"/>
      <c r="G33" s="6">
        <v>7.1813644547325098E-2</v>
      </c>
      <c r="H33" s="6"/>
      <c r="I33" s="6">
        <v>35.506366999999997</v>
      </c>
      <c r="J33" s="6"/>
      <c r="K33" s="6">
        <v>3.1533841306584397E-2</v>
      </c>
      <c r="L33" s="6"/>
      <c r="M33" s="6">
        <v>32.986423000000002</v>
      </c>
      <c r="N33" s="6"/>
      <c r="O33" s="6">
        <v>1.29380722736626E-2</v>
      </c>
      <c r="P33" s="6"/>
      <c r="Q33" s="6">
        <v>30.635425999999999</v>
      </c>
      <c r="R33" s="6"/>
      <c r="S33" s="6">
        <v>5.3821887860082303E-3</v>
      </c>
      <c r="T33" s="6"/>
      <c r="U33" s="6">
        <v>28.706666999999999</v>
      </c>
      <c r="V33" s="6"/>
    </row>
    <row r="34" spans="1:22">
      <c r="A34" s="1"/>
      <c r="B34" s="1"/>
      <c r="C34" s="2" t="s">
        <v>1</v>
      </c>
      <c r="D34" s="2"/>
      <c r="E34" s="2" t="s">
        <v>3</v>
      </c>
      <c r="F34" s="2"/>
      <c r="G34" s="3" t="s">
        <v>1</v>
      </c>
      <c r="H34" s="3"/>
      <c r="I34" s="3" t="s">
        <v>3</v>
      </c>
      <c r="J34" s="3"/>
      <c r="K34" s="4" t="s">
        <v>1</v>
      </c>
      <c r="L34" s="4"/>
      <c r="M34" s="4" t="s">
        <v>3</v>
      </c>
      <c r="N34" s="4"/>
      <c r="O34" s="5" t="s">
        <v>1</v>
      </c>
      <c r="P34" s="5"/>
      <c r="Q34" s="5" t="s">
        <v>3</v>
      </c>
      <c r="R34" s="5"/>
      <c r="S34" s="12" t="s">
        <v>1</v>
      </c>
      <c r="T34" s="12"/>
      <c r="U34" s="12" t="s">
        <v>3</v>
      </c>
      <c r="V34" s="12"/>
    </row>
    <row r="35" spans="1:22">
      <c r="A35" s="1"/>
      <c r="B35" s="1"/>
      <c r="C35" s="9"/>
      <c r="D35" s="9"/>
      <c r="E35" s="6">
        <v>0.98228400000000005</v>
      </c>
      <c r="F35" s="6"/>
      <c r="G35" s="9"/>
      <c r="H35" s="9"/>
      <c r="I35" s="6">
        <v>0.970329</v>
      </c>
      <c r="J35" s="6"/>
      <c r="K35" s="9"/>
      <c r="L35" s="9"/>
      <c r="M35" s="6">
        <v>0.95096999999999998</v>
      </c>
      <c r="N35" s="6"/>
      <c r="O35" s="9"/>
      <c r="P35" s="9"/>
      <c r="Q35" s="6">
        <v>0.92056300000000002</v>
      </c>
      <c r="R35" s="6"/>
      <c r="S35" s="9"/>
      <c r="T35" s="9"/>
      <c r="U35" s="6">
        <v>0.88161599999999996</v>
      </c>
      <c r="V35" s="6"/>
    </row>
    <row r="36" spans="1:2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>
      <c r="A37" s="1" t="s">
        <v>10</v>
      </c>
      <c r="B37" s="1"/>
      <c r="C37" s="2" t="s">
        <v>1</v>
      </c>
      <c r="D37" s="2"/>
      <c r="E37" s="2" t="s">
        <v>2</v>
      </c>
      <c r="F37" s="2"/>
      <c r="G37" s="3" t="s">
        <v>1</v>
      </c>
      <c r="H37" s="3"/>
      <c r="I37" s="3" t="s">
        <v>2</v>
      </c>
      <c r="J37" s="3"/>
      <c r="K37" s="4" t="s">
        <v>1</v>
      </c>
      <c r="L37" s="4"/>
      <c r="M37" s="4" t="s">
        <v>2</v>
      </c>
      <c r="N37" s="4"/>
      <c r="O37" s="5" t="s">
        <v>1</v>
      </c>
      <c r="P37" s="5"/>
      <c r="Q37" s="5" t="s">
        <v>2</v>
      </c>
      <c r="R37" s="5"/>
      <c r="S37" s="12" t="s">
        <v>1</v>
      </c>
      <c r="T37" s="12"/>
      <c r="U37" s="12" t="s">
        <v>2</v>
      </c>
      <c r="V37" s="12"/>
    </row>
    <row r="38" spans="1:22">
      <c r="A38" s="1"/>
      <c r="B38" s="1"/>
      <c r="C38" s="6">
        <f>AVERAGE(C3,C8,C13,C18,C23,C28,C33)</f>
        <v>7.3005097185479192E-2</v>
      </c>
      <c r="D38" s="6"/>
      <c r="E38" s="6">
        <f>AVERAGE(E3,E8,E13,E18,E23,E28,E33)</f>
        <v>37.847833428571427</v>
      </c>
      <c r="F38" s="6"/>
      <c r="G38" s="6">
        <f>AVERAGE(G3,G8,G13,G18,G23,G28,G33)</f>
        <v>3.2432643481775429E-2</v>
      </c>
      <c r="H38" s="6"/>
      <c r="I38" s="6">
        <f>AVERAGE(I3,I8,I13,I18,I23,I28,I33)</f>
        <v>36.210215428571424</v>
      </c>
      <c r="J38" s="6"/>
      <c r="K38" s="6">
        <f>AVERAGE(K3,K8,K13,K18,K23,K28,K33)</f>
        <v>1.5537199625220469E-2</v>
      </c>
      <c r="L38" s="6"/>
      <c r="M38" s="6">
        <f>AVERAGE(M3,M8,M13,M18,M23,M28,M33)</f>
        <v>34.444735999999999</v>
      </c>
      <c r="N38" s="6"/>
      <c r="O38" s="6">
        <f>AVERAGE(O3,O8,O13,O18,O23,O28,O33)</f>
        <v>7.5246702307466334E-3</v>
      </c>
      <c r="P38" s="6"/>
      <c r="Q38" s="6">
        <f>AVERAGE(Q3,Q8,Q13,Q18,Q23,Q28,Q33)</f>
        <v>32.619500857142853</v>
      </c>
      <c r="R38" s="6"/>
      <c r="S38" s="6">
        <f>AVERAGE(S3,S8,S13,S18,S23,S28,S33)</f>
        <v>3.874101631393297E-3</v>
      </c>
      <c r="T38" s="6"/>
      <c r="U38" s="6">
        <f>AVERAGE(U3,U8,U13,U18,U23,U28,U33)</f>
        <v>30.916897285714292</v>
      </c>
      <c r="V38" s="6"/>
    </row>
    <row r="39" spans="1:22">
      <c r="A39" s="1"/>
      <c r="B39" s="1"/>
      <c r="C39" s="2" t="s">
        <v>1</v>
      </c>
      <c r="D39" s="2"/>
      <c r="E39" s="2" t="s">
        <v>3</v>
      </c>
      <c r="F39" s="2"/>
      <c r="G39" s="3" t="s">
        <v>1</v>
      </c>
      <c r="H39" s="3"/>
      <c r="I39" s="3" t="s">
        <v>3</v>
      </c>
      <c r="J39" s="3"/>
      <c r="K39" s="4" t="s">
        <v>1</v>
      </c>
      <c r="L39" s="4"/>
      <c r="M39" s="4" t="s">
        <v>3</v>
      </c>
      <c r="N39" s="4"/>
      <c r="O39" s="5" t="s">
        <v>1</v>
      </c>
      <c r="P39" s="5"/>
      <c r="Q39" s="5" t="s">
        <v>3</v>
      </c>
      <c r="R39" s="5"/>
      <c r="S39" s="12" t="s">
        <v>1</v>
      </c>
      <c r="T39" s="12"/>
      <c r="U39" s="12" t="s">
        <v>3</v>
      </c>
      <c r="V39" s="12"/>
    </row>
    <row r="40" spans="1:22">
      <c r="A40" s="1"/>
      <c r="B40" s="1"/>
      <c r="C40" s="9"/>
      <c r="D40" s="9"/>
      <c r="E40" s="6">
        <f>AVERAGE(E5,E10,E15,E20,E25,E30,E35)</f>
        <v>0.96886471428571419</v>
      </c>
      <c r="F40" s="6"/>
      <c r="G40" s="11"/>
      <c r="H40" s="11"/>
      <c r="I40" s="6">
        <f>AVERAGE(I5,I10,I15,I20,I25,I30,I35)</f>
        <v>0.9606579999999999</v>
      </c>
      <c r="J40" s="6"/>
      <c r="K40" s="11"/>
      <c r="L40" s="11"/>
      <c r="M40" s="6">
        <f>AVERAGE(M5,M10,M15,M20,M25,M30,M35)</f>
        <v>0.94760071428571435</v>
      </c>
      <c r="N40" s="6"/>
      <c r="O40" s="11"/>
      <c r="P40" s="11"/>
      <c r="Q40" s="6">
        <f>AVERAGE(Q5,Q10,Q15,Q20,Q25,Q30,Q35)</f>
        <v>0.92797014285714297</v>
      </c>
      <c r="R40" s="6"/>
      <c r="S40" s="11"/>
      <c r="T40" s="11"/>
      <c r="U40" s="6">
        <f>AVERAGE(U5,U10,U15,U20,U25,U30,U35)</f>
        <v>0.90269614285714295</v>
      </c>
      <c r="V40" s="6"/>
    </row>
  </sheetData>
  <mergeCells count="318">
    <mergeCell ref="M39:N39"/>
    <mergeCell ref="O39:P39"/>
    <mergeCell ref="Q39:R39"/>
    <mergeCell ref="S39:T39"/>
    <mergeCell ref="U39:V39"/>
    <mergeCell ref="E40:F40"/>
    <mergeCell ref="I40:J40"/>
    <mergeCell ref="M40:N40"/>
    <mergeCell ref="Q40:R40"/>
    <mergeCell ref="U40:V40"/>
    <mergeCell ref="M38:N38"/>
    <mergeCell ref="O38:P38"/>
    <mergeCell ref="Q38:R38"/>
    <mergeCell ref="S38:T38"/>
    <mergeCell ref="U38:V38"/>
    <mergeCell ref="C39:D39"/>
    <mergeCell ref="E39:F39"/>
    <mergeCell ref="G39:H39"/>
    <mergeCell ref="I39:J39"/>
    <mergeCell ref="K39:L39"/>
    <mergeCell ref="M37:N37"/>
    <mergeCell ref="O37:P37"/>
    <mergeCell ref="Q37:R37"/>
    <mergeCell ref="S37:T37"/>
    <mergeCell ref="U37:V37"/>
    <mergeCell ref="C38:D38"/>
    <mergeCell ref="E38:F38"/>
    <mergeCell ref="G38:H38"/>
    <mergeCell ref="I38:J38"/>
    <mergeCell ref="K38:L38"/>
    <mergeCell ref="A37:B40"/>
    <mergeCell ref="C37:D37"/>
    <mergeCell ref="E37:F37"/>
    <mergeCell ref="G37:H37"/>
    <mergeCell ref="I37:J37"/>
    <mergeCell ref="K37:L37"/>
    <mergeCell ref="M34:N34"/>
    <mergeCell ref="O34:P34"/>
    <mergeCell ref="Q34:R34"/>
    <mergeCell ref="S34:T34"/>
    <mergeCell ref="U34:V34"/>
    <mergeCell ref="E35:F35"/>
    <mergeCell ref="I35:J35"/>
    <mergeCell ref="M35:N35"/>
    <mergeCell ref="Q35:R35"/>
    <mergeCell ref="U35:V35"/>
    <mergeCell ref="M33:N33"/>
    <mergeCell ref="O33:P33"/>
    <mergeCell ref="Q33:R33"/>
    <mergeCell ref="S33:T33"/>
    <mergeCell ref="U33:V33"/>
    <mergeCell ref="C34:D34"/>
    <mergeCell ref="E34:F34"/>
    <mergeCell ref="G34:H34"/>
    <mergeCell ref="I34:J34"/>
    <mergeCell ref="K34:L34"/>
    <mergeCell ref="M32:N32"/>
    <mergeCell ref="O32:P32"/>
    <mergeCell ref="Q32:R32"/>
    <mergeCell ref="S32:T32"/>
    <mergeCell ref="U32:V32"/>
    <mergeCell ref="C33:D33"/>
    <mergeCell ref="E33:F33"/>
    <mergeCell ref="G33:H33"/>
    <mergeCell ref="I33:J33"/>
    <mergeCell ref="K33:L33"/>
    <mergeCell ref="A32:B35"/>
    <mergeCell ref="C32:D32"/>
    <mergeCell ref="E32:F32"/>
    <mergeCell ref="G32:H32"/>
    <mergeCell ref="I32:J32"/>
    <mergeCell ref="K32:L32"/>
    <mergeCell ref="M29:N29"/>
    <mergeCell ref="O29:P29"/>
    <mergeCell ref="Q29:R29"/>
    <mergeCell ref="S29:T29"/>
    <mergeCell ref="U29:V29"/>
    <mergeCell ref="E30:F30"/>
    <mergeCell ref="I30:J30"/>
    <mergeCell ref="M30:N30"/>
    <mergeCell ref="Q30:R30"/>
    <mergeCell ref="U30:V30"/>
    <mergeCell ref="M28:N28"/>
    <mergeCell ref="O28:P28"/>
    <mergeCell ref="Q28:R28"/>
    <mergeCell ref="S28:T28"/>
    <mergeCell ref="U28:V28"/>
    <mergeCell ref="C29:D29"/>
    <mergeCell ref="E29:F29"/>
    <mergeCell ref="G29:H29"/>
    <mergeCell ref="I29:J29"/>
    <mergeCell ref="K29:L29"/>
    <mergeCell ref="M27:N27"/>
    <mergeCell ref="O27:P27"/>
    <mergeCell ref="Q27:R27"/>
    <mergeCell ref="S27:T27"/>
    <mergeCell ref="U27:V27"/>
    <mergeCell ref="C28:D28"/>
    <mergeCell ref="E28:F28"/>
    <mergeCell ref="G28:H28"/>
    <mergeCell ref="I28:J28"/>
    <mergeCell ref="K28:L28"/>
    <mergeCell ref="O25:P25"/>
    <mergeCell ref="Q25:R25"/>
    <mergeCell ref="S25:T25"/>
    <mergeCell ref="U25:V25"/>
    <mergeCell ref="A27:B30"/>
    <mergeCell ref="C27:D27"/>
    <mergeCell ref="E27:F27"/>
    <mergeCell ref="G27:H27"/>
    <mergeCell ref="I27:J27"/>
    <mergeCell ref="K27:L27"/>
    <mergeCell ref="O24:P24"/>
    <mergeCell ref="Q24:R24"/>
    <mergeCell ref="S24:T24"/>
    <mergeCell ref="U24:V24"/>
    <mergeCell ref="C25:D25"/>
    <mergeCell ref="E25:F25"/>
    <mergeCell ref="G25:H25"/>
    <mergeCell ref="I25:J25"/>
    <mergeCell ref="K25:L25"/>
    <mergeCell ref="M25:N25"/>
    <mergeCell ref="O23:P23"/>
    <mergeCell ref="Q23:R23"/>
    <mergeCell ref="S23:T23"/>
    <mergeCell ref="U23:V23"/>
    <mergeCell ref="C24:D24"/>
    <mergeCell ref="E24:F24"/>
    <mergeCell ref="G24:H24"/>
    <mergeCell ref="I24:J24"/>
    <mergeCell ref="K24:L24"/>
    <mergeCell ref="M24:N24"/>
    <mergeCell ref="C23:D23"/>
    <mergeCell ref="E23:F23"/>
    <mergeCell ref="G23:H23"/>
    <mergeCell ref="I23:J23"/>
    <mergeCell ref="K23:L23"/>
    <mergeCell ref="M23:N23"/>
    <mergeCell ref="K22:L22"/>
    <mergeCell ref="M22:N22"/>
    <mergeCell ref="O22:P22"/>
    <mergeCell ref="Q22:R22"/>
    <mergeCell ref="S22:T22"/>
    <mergeCell ref="U22:V22"/>
    <mergeCell ref="M20:N20"/>
    <mergeCell ref="O20:P20"/>
    <mergeCell ref="Q20:R20"/>
    <mergeCell ref="S20:T20"/>
    <mergeCell ref="U20:V20"/>
    <mergeCell ref="A22:B25"/>
    <mergeCell ref="C22:D22"/>
    <mergeCell ref="E22:F22"/>
    <mergeCell ref="G22:H22"/>
    <mergeCell ref="I22:J22"/>
    <mergeCell ref="M19:N19"/>
    <mergeCell ref="O19:P19"/>
    <mergeCell ref="Q19:R19"/>
    <mergeCell ref="S19:T19"/>
    <mergeCell ref="U19:V19"/>
    <mergeCell ref="C20:D20"/>
    <mergeCell ref="E20:F20"/>
    <mergeCell ref="G20:H20"/>
    <mergeCell ref="I20:J20"/>
    <mergeCell ref="K20:L20"/>
    <mergeCell ref="M18:N18"/>
    <mergeCell ref="O18:P18"/>
    <mergeCell ref="Q18:R18"/>
    <mergeCell ref="S18:T18"/>
    <mergeCell ref="U18:V18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U17:V17"/>
    <mergeCell ref="C18:D18"/>
    <mergeCell ref="E18:F18"/>
    <mergeCell ref="G18:H18"/>
    <mergeCell ref="I18:J18"/>
    <mergeCell ref="K18:L18"/>
    <mergeCell ref="O15:P15"/>
    <mergeCell ref="Q15:R15"/>
    <mergeCell ref="S15:T15"/>
    <mergeCell ref="U15:V15"/>
    <mergeCell ref="A17:B20"/>
    <mergeCell ref="C17:D17"/>
    <mergeCell ref="E17:F17"/>
    <mergeCell ref="G17:H17"/>
    <mergeCell ref="I17:J17"/>
    <mergeCell ref="K17:L17"/>
    <mergeCell ref="O14:P14"/>
    <mergeCell ref="Q14:R14"/>
    <mergeCell ref="S14:T14"/>
    <mergeCell ref="U14:V14"/>
    <mergeCell ref="C15:D15"/>
    <mergeCell ref="E15:F15"/>
    <mergeCell ref="G15:H15"/>
    <mergeCell ref="I15:J15"/>
    <mergeCell ref="K15:L15"/>
    <mergeCell ref="M15:N15"/>
    <mergeCell ref="O13:P13"/>
    <mergeCell ref="Q13:R13"/>
    <mergeCell ref="S13:T13"/>
    <mergeCell ref="U13:V13"/>
    <mergeCell ref="C14:D14"/>
    <mergeCell ref="E14:F14"/>
    <mergeCell ref="G14:H14"/>
    <mergeCell ref="I14:J14"/>
    <mergeCell ref="K14:L14"/>
    <mergeCell ref="M14:N14"/>
    <mergeCell ref="C13:D13"/>
    <mergeCell ref="E13:F13"/>
    <mergeCell ref="G13:H13"/>
    <mergeCell ref="I13:J13"/>
    <mergeCell ref="K13:L13"/>
    <mergeCell ref="M13:N13"/>
    <mergeCell ref="K12:L12"/>
    <mergeCell ref="M12:N12"/>
    <mergeCell ref="O12:P12"/>
    <mergeCell ref="Q12:R12"/>
    <mergeCell ref="S12:T12"/>
    <mergeCell ref="U12:V12"/>
    <mergeCell ref="M10:N10"/>
    <mergeCell ref="O10:P10"/>
    <mergeCell ref="Q10:R10"/>
    <mergeCell ref="S10:T10"/>
    <mergeCell ref="U10:V10"/>
    <mergeCell ref="A12:B15"/>
    <mergeCell ref="C12:D12"/>
    <mergeCell ref="E12:F12"/>
    <mergeCell ref="G12:H12"/>
    <mergeCell ref="I12:J12"/>
    <mergeCell ref="M9:N9"/>
    <mergeCell ref="O9:P9"/>
    <mergeCell ref="Q9:R9"/>
    <mergeCell ref="S9:T9"/>
    <mergeCell ref="U9:V9"/>
    <mergeCell ref="C10:D10"/>
    <mergeCell ref="E10:F10"/>
    <mergeCell ref="G10:H10"/>
    <mergeCell ref="I10:J10"/>
    <mergeCell ref="K10:L10"/>
    <mergeCell ref="M8:N8"/>
    <mergeCell ref="O8:P8"/>
    <mergeCell ref="Q8:R8"/>
    <mergeCell ref="S8:T8"/>
    <mergeCell ref="U8:V8"/>
    <mergeCell ref="C9:D9"/>
    <mergeCell ref="E9:F9"/>
    <mergeCell ref="G9:H9"/>
    <mergeCell ref="I9:J9"/>
    <mergeCell ref="K9:L9"/>
    <mergeCell ref="M7:N7"/>
    <mergeCell ref="O7:P7"/>
    <mergeCell ref="Q7:R7"/>
    <mergeCell ref="S7:T7"/>
    <mergeCell ref="U7:V7"/>
    <mergeCell ref="C8:D8"/>
    <mergeCell ref="E8:F8"/>
    <mergeCell ref="G8:H8"/>
    <mergeCell ref="I8:J8"/>
    <mergeCell ref="K8:L8"/>
    <mergeCell ref="O5:P5"/>
    <mergeCell ref="Q5:R5"/>
    <mergeCell ref="S5:T5"/>
    <mergeCell ref="U5:V5"/>
    <mergeCell ref="A7:B10"/>
    <mergeCell ref="C7:D7"/>
    <mergeCell ref="E7:F7"/>
    <mergeCell ref="G7:H7"/>
    <mergeCell ref="I7:J7"/>
    <mergeCell ref="K7:L7"/>
    <mergeCell ref="O4:P4"/>
    <mergeCell ref="Q4:R4"/>
    <mergeCell ref="S4:T4"/>
    <mergeCell ref="U4:V4"/>
    <mergeCell ref="C5:D5"/>
    <mergeCell ref="E5:F5"/>
    <mergeCell ref="G5:H5"/>
    <mergeCell ref="I5:J5"/>
    <mergeCell ref="K5:L5"/>
    <mergeCell ref="M5:N5"/>
    <mergeCell ref="O3:P3"/>
    <mergeCell ref="Q3:R3"/>
    <mergeCell ref="S3:T3"/>
    <mergeCell ref="U3:V3"/>
    <mergeCell ref="C4:D4"/>
    <mergeCell ref="E4:F4"/>
    <mergeCell ref="G4:H4"/>
    <mergeCell ref="I4:J4"/>
    <mergeCell ref="K4:L4"/>
    <mergeCell ref="M4:N4"/>
    <mergeCell ref="C3:D3"/>
    <mergeCell ref="E3:F3"/>
    <mergeCell ref="G3:H3"/>
    <mergeCell ref="I3:J3"/>
    <mergeCell ref="K3:L3"/>
    <mergeCell ref="M3:N3"/>
    <mergeCell ref="K2:L2"/>
    <mergeCell ref="M2:N2"/>
    <mergeCell ref="O2:P2"/>
    <mergeCell ref="Q2:R2"/>
    <mergeCell ref="S2:T2"/>
    <mergeCell ref="U2:V2"/>
    <mergeCell ref="C1:F1"/>
    <mergeCell ref="G1:J1"/>
    <mergeCell ref="K1:N1"/>
    <mergeCell ref="O1:R1"/>
    <mergeCell ref="S1:V1"/>
    <mergeCell ref="A2:B5"/>
    <mergeCell ref="C2:D2"/>
    <mergeCell ref="E2:F2"/>
    <mergeCell ref="G2:H2"/>
    <mergeCell ref="I2:J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"/>
  <sheetViews>
    <sheetView workbookViewId="0">
      <selection sqref="A1:Z40"/>
    </sheetView>
  </sheetViews>
  <sheetFormatPr defaultRowHeight="16.5"/>
  <sheetData>
    <row r="1" spans="1:26">
      <c r="A1" s="9"/>
      <c r="B1" s="9"/>
      <c r="C1" s="1" t="s">
        <v>11</v>
      </c>
      <c r="D1" s="1"/>
      <c r="E1" s="1"/>
      <c r="F1" s="1"/>
      <c r="G1" s="1" t="s">
        <v>12</v>
      </c>
      <c r="H1" s="1"/>
      <c r="I1" s="1"/>
      <c r="J1" s="1"/>
      <c r="K1" s="1" t="s">
        <v>13</v>
      </c>
      <c r="L1" s="1"/>
      <c r="M1" s="1"/>
      <c r="N1" s="1"/>
      <c r="O1" s="1" t="s">
        <v>16</v>
      </c>
      <c r="P1" s="1"/>
      <c r="Q1" s="1"/>
      <c r="R1" s="1"/>
      <c r="S1" s="1" t="s">
        <v>14</v>
      </c>
      <c r="T1" s="1"/>
      <c r="U1" s="1"/>
      <c r="V1" s="1"/>
      <c r="W1" s="1" t="s">
        <v>15</v>
      </c>
      <c r="X1" s="1"/>
      <c r="Y1" s="1"/>
      <c r="Z1" s="1"/>
    </row>
    <row r="2" spans="1:26">
      <c r="A2" s="1" t="s">
        <v>0</v>
      </c>
      <c r="B2" s="1"/>
      <c r="C2" s="2" t="s">
        <v>1</v>
      </c>
      <c r="D2" s="2"/>
      <c r="E2" s="2" t="s">
        <v>2</v>
      </c>
      <c r="F2" s="2"/>
      <c r="G2" s="3" t="s">
        <v>1</v>
      </c>
      <c r="H2" s="3"/>
      <c r="I2" s="3" t="s">
        <v>2</v>
      </c>
      <c r="J2" s="3"/>
      <c r="K2" s="4" t="s">
        <v>1</v>
      </c>
      <c r="L2" s="4"/>
      <c r="M2" s="4" t="s">
        <v>2</v>
      </c>
      <c r="N2" s="4"/>
      <c r="O2" s="5" t="s">
        <v>1</v>
      </c>
      <c r="P2" s="5"/>
      <c r="Q2" s="5" t="s">
        <v>2</v>
      </c>
      <c r="R2" s="5"/>
      <c r="S2" s="12" t="s">
        <v>1</v>
      </c>
      <c r="T2" s="12"/>
      <c r="U2" s="12" t="s">
        <v>2</v>
      </c>
      <c r="V2" s="12"/>
      <c r="W2" s="2" t="s">
        <v>1</v>
      </c>
      <c r="X2" s="2"/>
      <c r="Y2" s="2" t="s">
        <v>2</v>
      </c>
      <c r="Z2" s="2"/>
    </row>
    <row r="3" spans="1:26">
      <c r="A3" s="1"/>
      <c r="B3" s="1"/>
      <c r="C3" s="6">
        <v>3.9834799382716002E-2</v>
      </c>
      <c r="D3" s="6"/>
      <c r="E3" s="6">
        <v>34.279353999999998</v>
      </c>
      <c r="F3" s="6"/>
      <c r="G3" s="6">
        <v>1.3209780092592599E-2</v>
      </c>
      <c r="H3" s="6"/>
      <c r="I3" s="6">
        <v>33.968398999999998</v>
      </c>
      <c r="J3" s="6"/>
      <c r="K3" s="6">
        <v>6.2000578703703697E-3</v>
      </c>
      <c r="L3" s="6"/>
      <c r="M3" s="6">
        <v>33.560538999999999</v>
      </c>
      <c r="N3" s="6"/>
      <c r="O3" s="6">
        <v>4.0952031893004099E-3</v>
      </c>
      <c r="P3" s="6"/>
      <c r="Q3" s="6">
        <v>33.246001999999997</v>
      </c>
      <c r="R3" s="6"/>
      <c r="S3" s="6">
        <v>3.0678562242798398E-3</v>
      </c>
      <c r="T3" s="6"/>
      <c r="U3" s="6">
        <v>32.974482999999999</v>
      </c>
      <c r="V3" s="6"/>
      <c r="W3" s="6">
        <v>1.5811599794238701E-3</v>
      </c>
      <c r="X3" s="6"/>
      <c r="Y3" s="6">
        <v>32.186146000000001</v>
      </c>
      <c r="Z3" s="6"/>
    </row>
    <row r="4" spans="1:26">
      <c r="A4" s="1"/>
      <c r="B4" s="1"/>
      <c r="C4" s="2" t="s">
        <v>1</v>
      </c>
      <c r="D4" s="2"/>
      <c r="E4" s="2" t="s">
        <v>3</v>
      </c>
      <c r="F4" s="2"/>
      <c r="G4" s="3" t="s">
        <v>1</v>
      </c>
      <c r="H4" s="3"/>
      <c r="I4" s="3" t="s">
        <v>3</v>
      </c>
      <c r="J4" s="3"/>
      <c r="K4" s="4" t="s">
        <v>1</v>
      </c>
      <c r="L4" s="4"/>
      <c r="M4" s="4" t="s">
        <v>3</v>
      </c>
      <c r="N4" s="4"/>
      <c r="O4" s="5" t="s">
        <v>1</v>
      </c>
      <c r="P4" s="5"/>
      <c r="Q4" s="5" t="s">
        <v>3</v>
      </c>
      <c r="R4" s="5"/>
      <c r="S4" s="12" t="s">
        <v>1</v>
      </c>
      <c r="T4" s="12"/>
      <c r="U4" s="12" t="s">
        <v>3</v>
      </c>
      <c r="V4" s="12"/>
      <c r="W4" s="2" t="s">
        <v>1</v>
      </c>
      <c r="X4" s="2"/>
      <c r="Y4" s="2" t="s">
        <v>3</v>
      </c>
      <c r="Z4" s="2"/>
    </row>
    <row r="5" spans="1:26">
      <c r="A5" s="1"/>
      <c r="B5" s="1"/>
      <c r="C5" s="8"/>
      <c r="D5" s="8"/>
      <c r="E5" s="6">
        <v>0.90908100000000003</v>
      </c>
      <c r="F5" s="6"/>
      <c r="G5" s="8"/>
      <c r="H5" s="8"/>
      <c r="I5" s="6">
        <v>0.90435100000000002</v>
      </c>
      <c r="J5" s="6"/>
      <c r="K5" s="8"/>
      <c r="L5" s="8"/>
      <c r="M5" s="6">
        <v>0.898281</v>
      </c>
      <c r="N5" s="6"/>
      <c r="O5" s="8"/>
      <c r="P5" s="8"/>
      <c r="Q5" s="6">
        <v>0.89346300000000001</v>
      </c>
      <c r="R5" s="6"/>
      <c r="S5" s="8"/>
      <c r="T5" s="8"/>
      <c r="U5" s="6">
        <v>0.88930100000000001</v>
      </c>
      <c r="V5" s="6"/>
      <c r="W5" s="8"/>
      <c r="X5" s="8"/>
      <c r="Y5" s="6">
        <v>0.87709300000000001</v>
      </c>
      <c r="Z5" s="6"/>
    </row>
    <row r="6" spans="1:2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1" t="s">
        <v>4</v>
      </c>
      <c r="B7" s="1"/>
      <c r="C7" s="2" t="s">
        <v>1</v>
      </c>
      <c r="D7" s="2"/>
      <c r="E7" s="2" t="s">
        <v>2</v>
      </c>
      <c r="F7" s="2"/>
      <c r="G7" s="3" t="s">
        <v>1</v>
      </c>
      <c r="H7" s="3"/>
      <c r="I7" s="3" t="s">
        <v>2</v>
      </c>
      <c r="J7" s="3"/>
      <c r="K7" s="4" t="s">
        <v>1</v>
      </c>
      <c r="L7" s="4"/>
      <c r="M7" s="4" t="s">
        <v>2</v>
      </c>
      <c r="N7" s="4"/>
      <c r="O7" s="5" t="s">
        <v>1</v>
      </c>
      <c r="P7" s="5"/>
      <c r="Q7" s="5" t="s">
        <v>2</v>
      </c>
      <c r="R7" s="5"/>
      <c r="S7" s="12" t="s">
        <v>1</v>
      </c>
      <c r="T7" s="12"/>
      <c r="U7" s="12" t="s">
        <v>2</v>
      </c>
      <c r="V7" s="12"/>
      <c r="W7" s="2" t="s">
        <v>1</v>
      </c>
      <c r="X7" s="2"/>
      <c r="Y7" s="2" t="s">
        <v>2</v>
      </c>
      <c r="Z7" s="2"/>
    </row>
    <row r="8" spans="1:26">
      <c r="A8" s="1"/>
      <c r="B8" s="1"/>
      <c r="C8" s="6">
        <v>3.9888541666666701E-2</v>
      </c>
      <c r="D8" s="6"/>
      <c r="E8" s="6">
        <v>40.527287000000001</v>
      </c>
      <c r="F8" s="6"/>
      <c r="G8" s="6">
        <v>1.7347440843621401E-2</v>
      </c>
      <c r="H8" s="6"/>
      <c r="I8" s="6">
        <v>38.908768000000002</v>
      </c>
      <c r="J8" s="6"/>
      <c r="K8" s="6">
        <v>7.8989519032921802E-3</v>
      </c>
      <c r="L8" s="6"/>
      <c r="M8" s="6">
        <v>37.067447999999999</v>
      </c>
      <c r="N8" s="6"/>
      <c r="O8" s="6">
        <v>5.0728459362139903E-3</v>
      </c>
      <c r="P8" s="6"/>
      <c r="Q8" s="6">
        <v>35.946609000000002</v>
      </c>
      <c r="R8" s="6"/>
      <c r="S8" s="6">
        <v>3.7065136316872401E-3</v>
      </c>
      <c r="T8" s="6"/>
      <c r="U8" s="6">
        <v>35.082115000000002</v>
      </c>
      <c r="V8" s="6"/>
      <c r="W8" s="6">
        <v>1.8268389917695501E-3</v>
      </c>
      <c r="X8" s="6"/>
      <c r="Y8" s="6">
        <v>33.246051999999999</v>
      </c>
      <c r="Z8" s="6"/>
    </row>
    <row r="9" spans="1:26">
      <c r="A9" s="1"/>
      <c r="B9" s="1"/>
      <c r="C9" s="2" t="s">
        <v>1</v>
      </c>
      <c r="D9" s="2"/>
      <c r="E9" s="2" t="s">
        <v>3</v>
      </c>
      <c r="F9" s="2"/>
      <c r="G9" s="3" t="s">
        <v>1</v>
      </c>
      <c r="H9" s="3"/>
      <c r="I9" s="3" t="s">
        <v>3</v>
      </c>
      <c r="J9" s="3"/>
      <c r="K9" s="4" t="s">
        <v>1</v>
      </c>
      <c r="L9" s="4"/>
      <c r="M9" s="4" t="s">
        <v>3</v>
      </c>
      <c r="N9" s="4"/>
      <c r="O9" s="5" t="s">
        <v>1</v>
      </c>
      <c r="P9" s="5"/>
      <c r="Q9" s="5" t="s">
        <v>3</v>
      </c>
      <c r="R9" s="5"/>
      <c r="S9" s="12" t="s">
        <v>1</v>
      </c>
      <c r="T9" s="12"/>
      <c r="U9" s="12" t="s">
        <v>3</v>
      </c>
      <c r="V9" s="12"/>
      <c r="W9" s="2" t="s">
        <v>1</v>
      </c>
      <c r="X9" s="2"/>
      <c r="Y9" s="2" t="s">
        <v>3</v>
      </c>
      <c r="Z9" s="2"/>
    </row>
    <row r="10" spans="1:26">
      <c r="A10" s="1"/>
      <c r="B10" s="1"/>
      <c r="C10" s="8"/>
      <c r="D10" s="8"/>
      <c r="E10" s="6">
        <v>0.98773200000000005</v>
      </c>
      <c r="F10" s="6"/>
      <c r="G10" s="8"/>
      <c r="H10" s="8"/>
      <c r="I10" s="6">
        <v>0.98249500000000001</v>
      </c>
      <c r="J10" s="6"/>
      <c r="K10" s="8"/>
      <c r="L10" s="8"/>
      <c r="M10" s="6">
        <v>0.97327699999999995</v>
      </c>
      <c r="N10" s="6"/>
      <c r="O10" s="8"/>
      <c r="P10" s="8"/>
      <c r="Q10" s="6">
        <v>0.96504500000000004</v>
      </c>
      <c r="R10" s="6"/>
      <c r="S10" s="8"/>
      <c r="T10" s="8"/>
      <c r="U10" s="6">
        <v>0.95728899999999995</v>
      </c>
      <c r="V10" s="6"/>
      <c r="W10" s="8"/>
      <c r="X10" s="8"/>
      <c r="Y10" s="6">
        <v>0.93397399999999997</v>
      </c>
      <c r="Z10" s="6"/>
    </row>
    <row r="11" spans="1:2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1" t="s">
        <v>5</v>
      </c>
      <c r="B12" s="1"/>
      <c r="C12" s="2" t="s">
        <v>1</v>
      </c>
      <c r="D12" s="2"/>
      <c r="E12" s="2" t="s">
        <v>2</v>
      </c>
      <c r="F12" s="2"/>
      <c r="G12" s="3" t="s">
        <v>1</v>
      </c>
      <c r="H12" s="3"/>
      <c r="I12" s="3" t="s">
        <v>2</v>
      </c>
      <c r="J12" s="3"/>
      <c r="K12" s="4" t="s">
        <v>1</v>
      </c>
      <c r="L12" s="4"/>
      <c r="M12" s="4" t="s">
        <v>2</v>
      </c>
      <c r="N12" s="4"/>
      <c r="O12" s="5" t="s">
        <v>1</v>
      </c>
      <c r="P12" s="5"/>
      <c r="Q12" s="5" t="s">
        <v>2</v>
      </c>
      <c r="R12" s="5"/>
      <c r="S12" s="12" t="s">
        <v>1</v>
      </c>
      <c r="T12" s="12"/>
      <c r="U12" s="12" t="s">
        <v>2</v>
      </c>
      <c r="V12" s="12"/>
      <c r="W12" s="2" t="s">
        <v>1</v>
      </c>
      <c r="X12" s="2"/>
      <c r="Y12" s="2" t="s">
        <v>2</v>
      </c>
      <c r="Z12" s="2"/>
    </row>
    <row r="13" spans="1:26">
      <c r="A13" s="1"/>
      <c r="B13" s="1"/>
      <c r="C13" s="6">
        <v>1.56671939300412E-2</v>
      </c>
      <c r="D13" s="6"/>
      <c r="E13" s="6">
        <v>38.144558000000004</v>
      </c>
      <c r="F13" s="6"/>
      <c r="G13" s="6">
        <v>8.8913065843621401E-3</v>
      </c>
      <c r="H13" s="6"/>
      <c r="I13" s="6">
        <v>37.308826000000003</v>
      </c>
      <c r="J13" s="6"/>
      <c r="K13" s="6">
        <v>5.5219843106995899E-3</v>
      </c>
      <c r="L13" s="6"/>
      <c r="M13" s="6">
        <v>36.012180000000001</v>
      </c>
      <c r="N13" s="6"/>
      <c r="O13" s="6">
        <v>4.1501800411522603E-3</v>
      </c>
      <c r="P13" s="6"/>
      <c r="Q13" s="6">
        <v>34.950985000000003</v>
      </c>
      <c r="R13" s="6"/>
      <c r="S13" s="6">
        <v>3.4006751543209902E-3</v>
      </c>
      <c r="T13" s="6"/>
      <c r="U13" s="6">
        <v>34.040703000000001</v>
      </c>
      <c r="V13" s="6"/>
      <c r="W13" s="6">
        <v>2.17103909465021E-3</v>
      </c>
      <c r="X13" s="6"/>
      <c r="Y13" s="6">
        <v>32.177734000000001</v>
      </c>
      <c r="Z13" s="6"/>
    </row>
    <row r="14" spans="1:26">
      <c r="A14" s="1"/>
      <c r="B14" s="1"/>
      <c r="C14" s="2" t="s">
        <v>1</v>
      </c>
      <c r="D14" s="2"/>
      <c r="E14" s="2" t="s">
        <v>3</v>
      </c>
      <c r="F14" s="2"/>
      <c r="G14" s="3" t="s">
        <v>1</v>
      </c>
      <c r="H14" s="3"/>
      <c r="I14" s="3" t="s">
        <v>3</v>
      </c>
      <c r="J14" s="3"/>
      <c r="K14" s="4" t="s">
        <v>1</v>
      </c>
      <c r="L14" s="4"/>
      <c r="M14" s="4" t="s">
        <v>3</v>
      </c>
      <c r="N14" s="4"/>
      <c r="O14" s="5" t="s">
        <v>1</v>
      </c>
      <c r="P14" s="5"/>
      <c r="Q14" s="5" t="s">
        <v>3</v>
      </c>
      <c r="R14" s="5"/>
      <c r="S14" s="12" t="s">
        <v>1</v>
      </c>
      <c r="T14" s="12"/>
      <c r="U14" s="12" t="s">
        <v>3</v>
      </c>
      <c r="V14" s="12"/>
      <c r="W14" s="2" t="s">
        <v>1</v>
      </c>
      <c r="X14" s="2"/>
      <c r="Y14" s="2" t="s">
        <v>3</v>
      </c>
      <c r="Z14" s="2"/>
    </row>
    <row r="15" spans="1:26">
      <c r="A15" s="1"/>
      <c r="B15" s="1"/>
      <c r="C15" s="8"/>
      <c r="D15" s="8"/>
      <c r="E15" s="6">
        <v>0.98309999999999997</v>
      </c>
      <c r="F15" s="6"/>
      <c r="G15" s="8"/>
      <c r="H15" s="8"/>
      <c r="I15" s="6">
        <v>0.98016000000000003</v>
      </c>
      <c r="J15" s="6"/>
      <c r="K15" s="8"/>
      <c r="L15" s="8"/>
      <c r="M15" s="6">
        <v>0.97476600000000002</v>
      </c>
      <c r="N15" s="6"/>
      <c r="O15" s="8"/>
      <c r="P15" s="8"/>
      <c r="Q15" s="6">
        <v>0.96935700000000002</v>
      </c>
      <c r="R15" s="6"/>
      <c r="S15" s="8"/>
      <c r="T15" s="8"/>
      <c r="U15" s="6">
        <v>0.96396099999999996</v>
      </c>
      <c r="V15" s="6"/>
      <c r="W15" s="8"/>
      <c r="X15" s="8"/>
      <c r="Y15" s="6">
        <v>0.948264</v>
      </c>
      <c r="Z15" s="6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1" t="s">
        <v>6</v>
      </c>
      <c r="B17" s="1"/>
      <c r="C17" s="2" t="s">
        <v>1</v>
      </c>
      <c r="D17" s="2"/>
      <c r="E17" s="2" t="s">
        <v>2</v>
      </c>
      <c r="F17" s="2"/>
      <c r="G17" s="3" t="s">
        <v>1</v>
      </c>
      <c r="H17" s="3"/>
      <c r="I17" s="3" t="s">
        <v>2</v>
      </c>
      <c r="J17" s="3"/>
      <c r="K17" s="4" t="s">
        <v>1</v>
      </c>
      <c r="L17" s="4"/>
      <c r="M17" s="4" t="s">
        <v>2</v>
      </c>
      <c r="N17" s="4"/>
      <c r="O17" s="5" t="s">
        <v>1</v>
      </c>
      <c r="P17" s="5"/>
      <c r="Q17" s="5" t="s">
        <v>2</v>
      </c>
      <c r="R17" s="5"/>
      <c r="S17" s="12" t="s">
        <v>1</v>
      </c>
      <c r="T17" s="12"/>
      <c r="U17" s="12" t="s">
        <v>2</v>
      </c>
      <c r="V17" s="12"/>
      <c r="W17" s="2" t="s">
        <v>1</v>
      </c>
      <c r="X17" s="2"/>
      <c r="Y17" s="2" t="s">
        <v>2</v>
      </c>
      <c r="Z17" s="2"/>
    </row>
    <row r="18" spans="1:26">
      <c r="A18" s="1"/>
      <c r="B18" s="1"/>
      <c r="C18" s="6">
        <v>3.0047845936213999E-2</v>
      </c>
      <c r="D18" s="6"/>
      <c r="E18" s="6">
        <v>38.473712999999996</v>
      </c>
      <c r="F18" s="6"/>
      <c r="G18" s="6">
        <v>1.44706275720165E-2</v>
      </c>
      <c r="H18" s="6"/>
      <c r="I18" s="6">
        <v>37.563999000000003</v>
      </c>
      <c r="J18" s="6"/>
      <c r="K18" s="6">
        <v>7.9377893518518504E-3</v>
      </c>
      <c r="L18" s="6"/>
      <c r="M18" s="6">
        <v>36.387999999999998</v>
      </c>
      <c r="N18" s="6"/>
      <c r="O18" s="6">
        <v>4.1501800411522603E-3</v>
      </c>
      <c r="P18" s="6"/>
      <c r="Q18" s="6">
        <v>34.950985000000003</v>
      </c>
      <c r="R18" s="6"/>
      <c r="S18" s="6">
        <v>4.5165573559670796E-3</v>
      </c>
      <c r="T18" s="6"/>
      <c r="U18" s="6">
        <v>34.912726999999997</v>
      </c>
      <c r="V18" s="6"/>
      <c r="W18" s="6">
        <v>2.6313335905349799E-3</v>
      </c>
      <c r="X18" s="6"/>
      <c r="Y18" s="6">
        <v>33.199902000000002</v>
      </c>
      <c r="Z18" s="6"/>
    </row>
    <row r="19" spans="1:26">
      <c r="A19" s="1"/>
      <c r="B19" s="1"/>
      <c r="C19" s="2" t="s">
        <v>1</v>
      </c>
      <c r="D19" s="2"/>
      <c r="E19" s="2" t="s">
        <v>3</v>
      </c>
      <c r="F19" s="2"/>
      <c r="G19" s="3" t="s">
        <v>1</v>
      </c>
      <c r="H19" s="3"/>
      <c r="I19" s="3" t="s">
        <v>3</v>
      </c>
      <c r="J19" s="3"/>
      <c r="K19" s="4" t="s">
        <v>1</v>
      </c>
      <c r="L19" s="4"/>
      <c r="M19" s="4" t="s">
        <v>3</v>
      </c>
      <c r="N19" s="4"/>
      <c r="O19" s="5" t="s">
        <v>1</v>
      </c>
      <c r="P19" s="5"/>
      <c r="Q19" s="5" t="s">
        <v>3</v>
      </c>
      <c r="R19" s="5"/>
      <c r="S19" s="12" t="s">
        <v>1</v>
      </c>
      <c r="T19" s="12"/>
      <c r="U19" s="12" t="s">
        <v>3</v>
      </c>
      <c r="V19" s="12"/>
      <c r="W19" s="2" t="s">
        <v>1</v>
      </c>
      <c r="X19" s="2"/>
      <c r="Y19" s="2" t="s">
        <v>3</v>
      </c>
      <c r="Z19" s="2"/>
    </row>
    <row r="20" spans="1:26">
      <c r="A20" s="1"/>
      <c r="B20" s="1"/>
      <c r="C20" s="8"/>
      <c r="D20" s="8"/>
      <c r="E20" s="6">
        <v>0.97136599999999995</v>
      </c>
      <c r="F20" s="6"/>
      <c r="G20" s="8"/>
      <c r="H20" s="8"/>
      <c r="I20" s="6">
        <v>0.96544200000000002</v>
      </c>
      <c r="J20" s="6"/>
      <c r="K20" s="8"/>
      <c r="L20" s="8"/>
      <c r="M20" s="6">
        <v>0.95666700000000005</v>
      </c>
      <c r="N20" s="6"/>
      <c r="O20" s="8"/>
      <c r="P20" s="8"/>
      <c r="Q20" s="6">
        <v>0.96935700000000002</v>
      </c>
      <c r="R20" s="6"/>
      <c r="S20" s="8"/>
      <c r="T20" s="8"/>
      <c r="U20" s="6">
        <v>0.94271000000000005</v>
      </c>
      <c r="V20" s="6"/>
      <c r="W20" s="8"/>
      <c r="X20" s="8"/>
      <c r="Y20" s="6">
        <v>0.92215999999999998</v>
      </c>
      <c r="Z20" s="6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1" t="s">
        <v>7</v>
      </c>
      <c r="B22" s="1"/>
      <c r="C22" s="2" t="s">
        <v>1</v>
      </c>
      <c r="D22" s="2"/>
      <c r="E22" s="2" t="s">
        <v>2</v>
      </c>
      <c r="F22" s="2"/>
      <c r="G22" s="3" t="s">
        <v>1</v>
      </c>
      <c r="H22" s="3"/>
      <c r="I22" s="3" t="s">
        <v>2</v>
      </c>
      <c r="J22" s="3"/>
      <c r="K22" s="4" t="s">
        <v>1</v>
      </c>
      <c r="L22" s="4"/>
      <c r="M22" s="4" t="s">
        <v>2</v>
      </c>
      <c r="N22" s="4"/>
      <c r="O22" s="5" t="s">
        <v>1</v>
      </c>
      <c r="P22" s="5"/>
      <c r="Q22" s="5" t="s">
        <v>2</v>
      </c>
      <c r="R22" s="5"/>
      <c r="S22" s="12" t="s">
        <v>1</v>
      </c>
      <c r="T22" s="12"/>
      <c r="U22" s="12" t="s">
        <v>2</v>
      </c>
      <c r="V22" s="12"/>
      <c r="W22" s="2" t="s">
        <v>1</v>
      </c>
      <c r="X22" s="2"/>
      <c r="Y22" s="2" t="s">
        <v>2</v>
      </c>
      <c r="Z22" s="2"/>
    </row>
    <row r="23" spans="1:26">
      <c r="A23" s="1"/>
      <c r="B23" s="1"/>
      <c r="C23" s="6">
        <v>7.4326588220164594E-2</v>
      </c>
      <c r="D23" s="6"/>
      <c r="E23" s="6">
        <v>39.140839</v>
      </c>
      <c r="F23" s="6"/>
      <c r="G23" s="6">
        <v>3.8829320987654299E-2</v>
      </c>
      <c r="H23" s="6"/>
      <c r="I23" s="6">
        <v>37.147305000000003</v>
      </c>
      <c r="J23" s="6"/>
      <c r="K23" s="6">
        <v>2.1222415123456798E-2</v>
      </c>
      <c r="L23" s="6"/>
      <c r="M23" s="6">
        <v>34.929152999999999</v>
      </c>
      <c r="N23" s="6"/>
      <c r="O23" s="6">
        <v>1.5005542695473301E-2</v>
      </c>
      <c r="P23" s="6"/>
      <c r="Q23" s="6">
        <v>33.583015000000003</v>
      </c>
      <c r="R23" s="6"/>
      <c r="S23" s="6">
        <v>1.16890432098765E-2</v>
      </c>
      <c r="T23" s="6"/>
      <c r="U23" s="6">
        <v>32.479008</v>
      </c>
      <c r="V23" s="6"/>
      <c r="W23" s="6">
        <v>6.3918016975308698E-3</v>
      </c>
      <c r="X23" s="6"/>
      <c r="Y23" s="6">
        <v>30.166868000000001</v>
      </c>
      <c r="Z23" s="6"/>
    </row>
    <row r="24" spans="1:26">
      <c r="A24" s="1"/>
      <c r="B24" s="1"/>
      <c r="C24" s="2" t="s">
        <v>1</v>
      </c>
      <c r="D24" s="2"/>
      <c r="E24" s="2" t="s">
        <v>3</v>
      </c>
      <c r="F24" s="2"/>
      <c r="G24" s="3" t="s">
        <v>1</v>
      </c>
      <c r="H24" s="3"/>
      <c r="I24" s="3" t="s">
        <v>3</v>
      </c>
      <c r="J24" s="3"/>
      <c r="K24" s="4" t="s">
        <v>1</v>
      </c>
      <c r="L24" s="4"/>
      <c r="M24" s="4" t="s">
        <v>3</v>
      </c>
      <c r="N24" s="4"/>
      <c r="O24" s="5" t="s">
        <v>1</v>
      </c>
      <c r="P24" s="5"/>
      <c r="Q24" s="5" t="s">
        <v>3</v>
      </c>
      <c r="R24" s="5"/>
      <c r="S24" s="12" t="s">
        <v>1</v>
      </c>
      <c r="T24" s="12"/>
      <c r="U24" s="12" t="s">
        <v>3</v>
      </c>
      <c r="V24" s="12"/>
      <c r="W24" s="2" t="s">
        <v>1</v>
      </c>
      <c r="X24" s="2"/>
      <c r="Y24" s="2" t="s">
        <v>3</v>
      </c>
      <c r="Z24" s="2"/>
    </row>
    <row r="25" spans="1:26">
      <c r="A25" s="1"/>
      <c r="B25" s="1"/>
      <c r="C25" s="8"/>
      <c r="D25" s="8"/>
      <c r="E25" s="6">
        <v>0.98995100000000003</v>
      </c>
      <c r="F25" s="6"/>
      <c r="G25" s="8"/>
      <c r="H25" s="8"/>
      <c r="I25" s="6">
        <v>0.98545799999999995</v>
      </c>
      <c r="J25" s="6"/>
      <c r="K25" s="8"/>
      <c r="L25" s="8"/>
      <c r="M25" s="6">
        <v>0.97775199999999995</v>
      </c>
      <c r="N25" s="6"/>
      <c r="O25" s="8"/>
      <c r="P25" s="8"/>
      <c r="Q25" s="6">
        <v>0.97096700000000002</v>
      </c>
      <c r="R25" s="6"/>
      <c r="S25" s="8"/>
      <c r="T25" s="8"/>
      <c r="U25" s="6">
        <v>0.964167</v>
      </c>
      <c r="V25" s="6"/>
      <c r="W25" s="8"/>
      <c r="X25" s="8"/>
      <c r="Y25" s="6">
        <v>0.94263699999999995</v>
      </c>
      <c r="Z25" s="6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1" t="s">
        <v>8</v>
      </c>
      <c r="B27" s="1"/>
      <c r="C27" s="2" t="s">
        <v>1</v>
      </c>
      <c r="D27" s="2"/>
      <c r="E27" s="2" t="s">
        <v>2</v>
      </c>
      <c r="F27" s="2"/>
      <c r="G27" s="3" t="s">
        <v>1</v>
      </c>
      <c r="H27" s="3"/>
      <c r="I27" s="3" t="s">
        <v>2</v>
      </c>
      <c r="J27" s="3"/>
      <c r="K27" s="4" t="s">
        <v>1</v>
      </c>
      <c r="L27" s="4"/>
      <c r="M27" s="4" t="s">
        <v>2</v>
      </c>
      <c r="N27" s="4"/>
      <c r="O27" s="5" t="s">
        <v>1</v>
      </c>
      <c r="P27" s="5"/>
      <c r="Q27" s="5" t="s">
        <v>2</v>
      </c>
      <c r="R27" s="5"/>
      <c r="S27" s="12" t="s">
        <v>1</v>
      </c>
      <c r="T27" s="12"/>
      <c r="U27" s="12" t="s">
        <v>2</v>
      </c>
      <c r="V27" s="12"/>
      <c r="W27" s="2" t="s">
        <v>1</v>
      </c>
      <c r="X27" s="2"/>
      <c r="Y27" s="2" t="s">
        <v>2</v>
      </c>
      <c r="Z27" s="2"/>
    </row>
    <row r="28" spans="1:26">
      <c r="A28" s="1"/>
      <c r="B28" s="1"/>
      <c r="C28" s="6">
        <v>0.10765608281892999</v>
      </c>
      <c r="D28" s="6"/>
      <c r="E28" s="6">
        <v>37.416435</v>
      </c>
      <c r="F28" s="6"/>
      <c r="G28" s="6">
        <v>4.5367245370370402E-2</v>
      </c>
      <c r="H28" s="6"/>
      <c r="I28" s="6">
        <v>35.826568999999999</v>
      </c>
      <c r="J28" s="6"/>
      <c r="K28" s="6">
        <v>1.86955632716049E-2</v>
      </c>
      <c r="L28" s="6"/>
      <c r="M28" s="6">
        <v>34.129050999999997</v>
      </c>
      <c r="N28" s="6"/>
      <c r="O28" s="6">
        <v>1.0753703703703699E-2</v>
      </c>
      <c r="P28" s="6"/>
      <c r="Q28" s="6">
        <v>33.111122000000002</v>
      </c>
      <c r="R28" s="6"/>
      <c r="S28" s="6">
        <v>7.3262474279835402E-3</v>
      </c>
      <c r="T28" s="6"/>
      <c r="U28" s="6">
        <v>32.378188999999999</v>
      </c>
      <c r="V28" s="6"/>
      <c r="W28" s="6">
        <v>3.3492669753086399E-3</v>
      </c>
      <c r="X28" s="6"/>
      <c r="Y28" s="6">
        <v>30.831797000000002</v>
      </c>
      <c r="Z28" s="6"/>
    </row>
    <row r="29" spans="1:26">
      <c r="A29" s="1"/>
      <c r="B29" s="1"/>
      <c r="C29" s="2" t="s">
        <v>1</v>
      </c>
      <c r="D29" s="2"/>
      <c r="E29" s="2" t="s">
        <v>3</v>
      </c>
      <c r="F29" s="2"/>
      <c r="G29" s="3" t="s">
        <v>1</v>
      </c>
      <c r="H29" s="3"/>
      <c r="I29" s="3" t="s">
        <v>3</v>
      </c>
      <c r="J29" s="3"/>
      <c r="K29" s="4" t="s">
        <v>1</v>
      </c>
      <c r="L29" s="4"/>
      <c r="M29" s="4" t="s">
        <v>3</v>
      </c>
      <c r="N29" s="4"/>
      <c r="O29" s="5" t="s">
        <v>1</v>
      </c>
      <c r="P29" s="5"/>
      <c r="Q29" s="5" t="s">
        <v>3</v>
      </c>
      <c r="R29" s="5"/>
      <c r="S29" s="12" t="s">
        <v>1</v>
      </c>
      <c r="T29" s="12"/>
      <c r="U29" s="12" t="s">
        <v>3</v>
      </c>
      <c r="V29" s="12"/>
      <c r="W29" s="2" t="s">
        <v>1</v>
      </c>
      <c r="X29" s="2"/>
      <c r="Y29" s="2" t="s">
        <v>3</v>
      </c>
      <c r="Z29" s="2"/>
    </row>
    <row r="30" spans="1:26">
      <c r="A30" s="1"/>
      <c r="B30" s="1"/>
      <c r="C30" s="8"/>
      <c r="D30" s="8"/>
      <c r="E30" s="6">
        <v>0.97712299999999996</v>
      </c>
      <c r="F30" s="6"/>
      <c r="G30" s="8"/>
      <c r="H30" s="8"/>
      <c r="I30" s="6">
        <v>0.96556600000000004</v>
      </c>
      <c r="J30" s="6"/>
      <c r="K30" s="8"/>
      <c r="L30" s="8"/>
      <c r="M30" s="6">
        <v>0.94691099999999995</v>
      </c>
      <c r="N30" s="6"/>
      <c r="O30" s="8"/>
      <c r="P30" s="8"/>
      <c r="Q30" s="6">
        <v>0.93188300000000002</v>
      </c>
      <c r="R30" s="6"/>
      <c r="S30" s="8"/>
      <c r="T30" s="8"/>
      <c r="U30" s="6">
        <v>0.91997899999999999</v>
      </c>
      <c r="V30" s="6"/>
      <c r="W30" s="8"/>
      <c r="X30" s="8"/>
      <c r="Y30" s="6">
        <v>0.89294600000000002</v>
      </c>
      <c r="Z30" s="6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1" t="s">
        <v>9</v>
      </c>
      <c r="B32" s="1"/>
      <c r="C32" s="2" t="s">
        <v>1</v>
      </c>
      <c r="D32" s="2"/>
      <c r="E32" s="2" t="s">
        <v>2</v>
      </c>
      <c r="F32" s="2"/>
      <c r="G32" s="3" t="s">
        <v>1</v>
      </c>
      <c r="H32" s="3"/>
      <c r="I32" s="3" t="s">
        <v>2</v>
      </c>
      <c r="J32" s="3"/>
      <c r="K32" s="4" t="s">
        <v>1</v>
      </c>
      <c r="L32" s="4"/>
      <c r="M32" s="4" t="s">
        <v>2</v>
      </c>
      <c r="N32" s="4"/>
      <c r="O32" s="5" t="s">
        <v>1</v>
      </c>
      <c r="P32" s="5"/>
      <c r="Q32" s="5" t="s">
        <v>2</v>
      </c>
      <c r="R32" s="5"/>
      <c r="S32" s="12" t="s">
        <v>1</v>
      </c>
      <c r="T32" s="12"/>
      <c r="U32" s="12" t="s">
        <v>2</v>
      </c>
      <c r="V32" s="12"/>
      <c r="W32" s="2" t="s">
        <v>1</v>
      </c>
      <c r="X32" s="2"/>
      <c r="Y32" s="2" t="s">
        <v>2</v>
      </c>
      <c r="Z32" s="2"/>
    </row>
    <row r="33" spans="1:26">
      <c r="A33" s="1"/>
      <c r="B33" s="1"/>
      <c r="C33" s="6">
        <v>0.14272989326131699</v>
      </c>
      <c r="D33" s="6"/>
      <c r="E33" s="6">
        <v>38.916083999999998</v>
      </c>
      <c r="F33" s="6"/>
      <c r="G33" s="6">
        <v>6.3775488683127601E-2</v>
      </c>
      <c r="H33" s="6"/>
      <c r="I33" s="6">
        <v>36.378979000000001</v>
      </c>
      <c r="J33" s="6"/>
      <c r="K33" s="6">
        <v>2.8207362397119299E-2</v>
      </c>
      <c r="L33" s="6"/>
      <c r="M33" s="6">
        <v>33.853329000000002</v>
      </c>
      <c r="N33" s="6"/>
      <c r="O33" s="6">
        <v>1.7195473251028801E-2</v>
      </c>
      <c r="P33" s="6"/>
      <c r="Q33" s="6">
        <v>32.471888999999997</v>
      </c>
      <c r="R33" s="6"/>
      <c r="S33" s="6">
        <v>1.18745048868313E-2</v>
      </c>
      <c r="T33" s="6"/>
      <c r="U33" s="6">
        <v>31.470618999999999</v>
      </c>
      <c r="V33" s="6"/>
      <c r="W33" s="6">
        <v>4.98273533950617E-3</v>
      </c>
      <c r="X33" s="6"/>
      <c r="Y33" s="6">
        <v>29.450389999999999</v>
      </c>
      <c r="Z33" s="6"/>
    </row>
    <row r="34" spans="1:26">
      <c r="A34" s="1"/>
      <c r="B34" s="1"/>
      <c r="C34" s="2" t="s">
        <v>1</v>
      </c>
      <c r="D34" s="2"/>
      <c r="E34" s="2" t="s">
        <v>3</v>
      </c>
      <c r="F34" s="2"/>
      <c r="G34" s="3" t="s">
        <v>1</v>
      </c>
      <c r="H34" s="3"/>
      <c r="I34" s="3" t="s">
        <v>3</v>
      </c>
      <c r="J34" s="3"/>
      <c r="K34" s="4" t="s">
        <v>1</v>
      </c>
      <c r="L34" s="4"/>
      <c r="M34" s="4" t="s">
        <v>3</v>
      </c>
      <c r="N34" s="4"/>
      <c r="O34" s="5" t="s">
        <v>1</v>
      </c>
      <c r="P34" s="5"/>
      <c r="Q34" s="5" t="s">
        <v>3</v>
      </c>
      <c r="R34" s="5"/>
      <c r="S34" s="12" t="s">
        <v>1</v>
      </c>
      <c r="T34" s="12"/>
      <c r="U34" s="12" t="s">
        <v>3</v>
      </c>
      <c r="V34" s="12"/>
      <c r="W34" s="2" t="s">
        <v>1</v>
      </c>
      <c r="X34" s="2"/>
      <c r="Y34" s="2" t="s">
        <v>3</v>
      </c>
      <c r="Z34" s="2"/>
    </row>
    <row r="35" spans="1:26">
      <c r="A35" s="1"/>
      <c r="B35" s="1"/>
      <c r="C35" s="8"/>
      <c r="D35" s="8"/>
      <c r="E35" s="6">
        <v>0.98641699999999999</v>
      </c>
      <c r="F35" s="6"/>
      <c r="G35" s="8"/>
      <c r="H35" s="8"/>
      <c r="I35" s="6">
        <v>0.97708799999999996</v>
      </c>
      <c r="J35" s="6"/>
      <c r="K35" s="8"/>
      <c r="L35" s="8"/>
      <c r="M35" s="6">
        <v>0.96074099999999996</v>
      </c>
      <c r="N35" s="6"/>
      <c r="O35" s="8"/>
      <c r="P35" s="8"/>
      <c r="Q35" s="6">
        <v>0.94709500000000002</v>
      </c>
      <c r="R35" s="6"/>
      <c r="S35" s="8"/>
      <c r="T35" s="8"/>
      <c r="U35" s="6">
        <v>0.93458200000000002</v>
      </c>
      <c r="V35" s="6"/>
      <c r="W35" s="8"/>
      <c r="X35" s="8"/>
      <c r="Y35" s="6">
        <v>0.89886699999999997</v>
      </c>
      <c r="Z35" s="6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1" t="s">
        <v>10</v>
      </c>
      <c r="B37" s="1"/>
      <c r="C37" s="2" t="s">
        <v>1</v>
      </c>
      <c r="D37" s="2"/>
      <c r="E37" s="2" t="s">
        <v>2</v>
      </c>
      <c r="F37" s="2"/>
      <c r="G37" s="3" t="s">
        <v>1</v>
      </c>
      <c r="H37" s="3"/>
      <c r="I37" s="3" t="s">
        <v>2</v>
      </c>
      <c r="J37" s="3"/>
      <c r="K37" s="4" t="s">
        <v>1</v>
      </c>
      <c r="L37" s="4"/>
      <c r="M37" s="4" t="s">
        <v>2</v>
      </c>
      <c r="N37" s="4"/>
      <c r="O37" s="5" t="s">
        <v>1</v>
      </c>
      <c r="P37" s="5"/>
      <c r="Q37" s="5" t="s">
        <v>2</v>
      </c>
      <c r="R37" s="5"/>
      <c r="S37" s="12" t="s">
        <v>1</v>
      </c>
      <c r="T37" s="12"/>
      <c r="U37" s="12" t="s">
        <v>2</v>
      </c>
      <c r="V37" s="12"/>
      <c r="W37" s="2" t="s">
        <v>1</v>
      </c>
      <c r="X37" s="2"/>
      <c r="Y37" s="2" t="s">
        <v>2</v>
      </c>
      <c r="Z37" s="2"/>
    </row>
    <row r="38" spans="1:26">
      <c r="A38" s="1"/>
      <c r="B38" s="1"/>
      <c r="C38" s="6">
        <f>AVERAGE(C3,C8,C13,C18,C23,C28,C33)</f>
        <v>6.4307277888007067E-2</v>
      </c>
      <c r="D38" s="6"/>
      <c r="E38" s="6">
        <f>AVERAGE(E3,E8,E13,E18,E23,E28,E33)</f>
        <v>38.128324285714292</v>
      </c>
      <c r="F38" s="6"/>
      <c r="G38" s="6">
        <f>AVERAGE(G3,G8,G13,G18,G23,G28,G33)</f>
        <v>2.8841601447677851E-2</v>
      </c>
      <c r="H38" s="6"/>
      <c r="I38" s="6">
        <f>AVERAGE(I3,I8,I13,I18,I23,I28,I33)</f>
        <v>36.728977857142858</v>
      </c>
      <c r="J38" s="6"/>
      <c r="K38" s="6">
        <f>AVERAGE(K3,K8,K13,K18,K23,K28,K33)</f>
        <v>1.3669160604056426E-2</v>
      </c>
      <c r="L38" s="6"/>
      <c r="M38" s="6">
        <f>AVERAGE(M3,M8,M13,M18,M23,M28,M33)</f>
        <v>35.134242857142858</v>
      </c>
      <c r="N38" s="6"/>
      <c r="O38" s="6">
        <f>AVERAGE(O3,O8,O13,O18,O23,O28,O33)</f>
        <v>8.6318755511463879E-3</v>
      </c>
      <c r="P38" s="6"/>
      <c r="Q38" s="6">
        <f>AVERAGE(Q3,Q8,Q13,Q18,Q23,Q28,Q33)</f>
        <v>34.037229571428568</v>
      </c>
      <c r="R38" s="6"/>
      <c r="S38" s="6">
        <f>AVERAGE(S3,S8,S13,S18,S23,S28,S33)</f>
        <v>6.511628270135213E-3</v>
      </c>
      <c r="T38" s="6"/>
      <c r="U38" s="6">
        <f>AVERAGE(U3,U8,U13,U18,U23,U28,U33)</f>
        <v>33.333977714285716</v>
      </c>
      <c r="V38" s="6"/>
      <c r="W38" s="6">
        <f>AVERAGE(W3,W8,W13,W18,W23,W28,W33)</f>
        <v>3.276310809817756E-3</v>
      </c>
      <c r="X38" s="6"/>
      <c r="Y38" s="6">
        <f>AVERAGE(Y3,Y8,Y13,Y18,Y23,Y28,Y33)</f>
        <v>31.608412714285713</v>
      </c>
      <c r="Z38" s="6"/>
    </row>
    <row r="39" spans="1:26">
      <c r="A39" s="1"/>
      <c r="B39" s="1"/>
      <c r="C39" s="2" t="s">
        <v>1</v>
      </c>
      <c r="D39" s="2"/>
      <c r="E39" s="2" t="s">
        <v>3</v>
      </c>
      <c r="F39" s="2"/>
      <c r="G39" s="3" t="s">
        <v>1</v>
      </c>
      <c r="H39" s="3"/>
      <c r="I39" s="3" t="s">
        <v>3</v>
      </c>
      <c r="J39" s="3"/>
      <c r="K39" s="4" t="s">
        <v>1</v>
      </c>
      <c r="L39" s="4"/>
      <c r="M39" s="4" t="s">
        <v>3</v>
      </c>
      <c r="N39" s="4"/>
      <c r="O39" s="5" t="s">
        <v>1</v>
      </c>
      <c r="P39" s="5"/>
      <c r="Q39" s="5" t="s">
        <v>3</v>
      </c>
      <c r="R39" s="5"/>
      <c r="S39" s="12" t="s">
        <v>1</v>
      </c>
      <c r="T39" s="12"/>
      <c r="U39" s="12" t="s">
        <v>3</v>
      </c>
      <c r="V39" s="12"/>
      <c r="W39" s="2" t="s">
        <v>1</v>
      </c>
      <c r="X39" s="2"/>
      <c r="Y39" s="2" t="s">
        <v>3</v>
      </c>
      <c r="Z39" s="2"/>
    </row>
    <row r="40" spans="1:26">
      <c r="A40" s="1"/>
      <c r="B40" s="1"/>
      <c r="C40" s="11"/>
      <c r="D40" s="11"/>
      <c r="E40" s="6">
        <f>AVERAGE(E5,E10,E15,E20,E25,E30,E35)</f>
        <v>0.97210999999999992</v>
      </c>
      <c r="F40" s="6"/>
      <c r="G40" s="11" t="e">
        <f>AVERAGE(G5,G10,G15,G20,G25,G30,G35)</f>
        <v>#DIV/0!</v>
      </c>
      <c r="H40" s="11" t="e">
        <f>AVERAGE(H5,H10,H15,H20,H25,H30,H35)</f>
        <v>#DIV/0!</v>
      </c>
      <c r="I40" s="6">
        <f>AVERAGE(I5,I10,I15,I20,I25,I30,I35)</f>
        <v>0.96579428571428572</v>
      </c>
      <c r="J40" s="6"/>
      <c r="K40" s="11"/>
      <c r="L40" s="11"/>
      <c r="M40" s="6">
        <f>AVERAGE(M5,M10,M15,M20,M25,M30,M35)</f>
        <v>0.95548500000000003</v>
      </c>
      <c r="N40" s="6"/>
      <c r="O40" s="11"/>
      <c r="P40" s="11"/>
      <c r="Q40" s="6">
        <f>AVERAGE(Q5,Q10,Q15,Q20,Q25,Q30,Q35)</f>
        <v>0.94959528571428575</v>
      </c>
      <c r="R40" s="6"/>
      <c r="S40" s="11"/>
      <c r="T40" s="11"/>
      <c r="U40" s="6">
        <f>AVERAGE(U5,U10,U15,U20,U25,U30,U35)</f>
        <v>0.93885557142857134</v>
      </c>
      <c r="V40" s="6"/>
      <c r="W40" s="11"/>
      <c r="X40" s="11"/>
      <c r="Y40" s="6">
        <f>AVERAGE(Y5,Y10,Y15,Y20,Y25,Y30,Y35)</f>
        <v>0.91656300000000002</v>
      </c>
      <c r="Z40" s="6"/>
    </row>
  </sheetData>
  <mergeCells count="392">
    <mergeCell ref="E40:F40"/>
    <mergeCell ref="I40:J40"/>
    <mergeCell ref="M40:N40"/>
    <mergeCell ref="Q40:R40"/>
    <mergeCell ref="U40:V40"/>
    <mergeCell ref="Y40:Z40"/>
    <mergeCell ref="O39:P39"/>
    <mergeCell ref="Q39:R39"/>
    <mergeCell ref="S39:T39"/>
    <mergeCell ref="U39:V39"/>
    <mergeCell ref="W39:X39"/>
    <mergeCell ref="Y39:Z39"/>
    <mergeCell ref="C39:D39"/>
    <mergeCell ref="E39:F39"/>
    <mergeCell ref="G39:H39"/>
    <mergeCell ref="I39:J39"/>
    <mergeCell ref="K39:L39"/>
    <mergeCell ref="M39:N39"/>
    <mergeCell ref="O38:P38"/>
    <mergeCell ref="Q38:R38"/>
    <mergeCell ref="S38:T38"/>
    <mergeCell ref="U38:V38"/>
    <mergeCell ref="W38:X38"/>
    <mergeCell ref="Y38:Z38"/>
    <mergeCell ref="S37:T37"/>
    <mergeCell ref="U37:V37"/>
    <mergeCell ref="W37:X37"/>
    <mergeCell ref="Y37:Z37"/>
    <mergeCell ref="C38:D38"/>
    <mergeCell ref="E38:F38"/>
    <mergeCell ref="G38:H38"/>
    <mergeCell ref="I38:J38"/>
    <mergeCell ref="K38:L38"/>
    <mergeCell ref="M38:N38"/>
    <mergeCell ref="Y35:Z35"/>
    <mergeCell ref="A37:B40"/>
    <mergeCell ref="C37:D37"/>
    <mergeCell ref="E37:F37"/>
    <mergeCell ref="G37:H37"/>
    <mergeCell ref="I37:J37"/>
    <mergeCell ref="K37:L37"/>
    <mergeCell ref="M37:N37"/>
    <mergeCell ref="O37:P37"/>
    <mergeCell ref="Q37:R37"/>
    <mergeCell ref="M35:N35"/>
    <mergeCell ref="O35:P35"/>
    <mergeCell ref="Q35:R35"/>
    <mergeCell ref="S35:T35"/>
    <mergeCell ref="U35:V35"/>
    <mergeCell ref="W35:X35"/>
    <mergeCell ref="Q34:R34"/>
    <mergeCell ref="S34:T34"/>
    <mergeCell ref="U34:V34"/>
    <mergeCell ref="W34:X34"/>
    <mergeCell ref="Y34:Z34"/>
    <mergeCell ref="C35:D35"/>
    <mergeCell ref="E35:F35"/>
    <mergeCell ref="G35:H35"/>
    <mergeCell ref="I35:J35"/>
    <mergeCell ref="K35:L35"/>
    <mergeCell ref="U33:V33"/>
    <mergeCell ref="W33:X33"/>
    <mergeCell ref="Y33:Z33"/>
    <mergeCell ref="C34:D34"/>
    <mergeCell ref="E34:F34"/>
    <mergeCell ref="G34:H34"/>
    <mergeCell ref="I34:J34"/>
    <mergeCell ref="K34:L34"/>
    <mergeCell ref="M34:N34"/>
    <mergeCell ref="O34:P34"/>
    <mergeCell ref="Y32:Z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M32:N32"/>
    <mergeCell ref="O32:P32"/>
    <mergeCell ref="Q32:R32"/>
    <mergeCell ref="S32:T32"/>
    <mergeCell ref="U32:V32"/>
    <mergeCell ref="W32:X32"/>
    <mergeCell ref="A32:B35"/>
    <mergeCell ref="C32:D32"/>
    <mergeCell ref="E32:F32"/>
    <mergeCell ref="G32:H32"/>
    <mergeCell ref="I32:J32"/>
    <mergeCell ref="K32:L32"/>
    <mergeCell ref="O30:P30"/>
    <mergeCell ref="Q30:R30"/>
    <mergeCell ref="S30:T30"/>
    <mergeCell ref="U30:V30"/>
    <mergeCell ref="W30:X30"/>
    <mergeCell ref="Y30:Z30"/>
    <mergeCell ref="C30:D30"/>
    <mergeCell ref="E30:F30"/>
    <mergeCell ref="G30:H30"/>
    <mergeCell ref="I30:J30"/>
    <mergeCell ref="K30:L30"/>
    <mergeCell ref="M30:N30"/>
    <mergeCell ref="O29:P29"/>
    <mergeCell ref="Q29:R29"/>
    <mergeCell ref="S29:T29"/>
    <mergeCell ref="U29:V29"/>
    <mergeCell ref="W29:X29"/>
    <mergeCell ref="Y29:Z29"/>
    <mergeCell ref="C29:D29"/>
    <mergeCell ref="E29:F29"/>
    <mergeCell ref="G29:H29"/>
    <mergeCell ref="I29:J29"/>
    <mergeCell ref="K29:L29"/>
    <mergeCell ref="M29:N29"/>
    <mergeCell ref="O28:P28"/>
    <mergeCell ref="Q28:R28"/>
    <mergeCell ref="S28:T28"/>
    <mergeCell ref="U28:V28"/>
    <mergeCell ref="W28:X28"/>
    <mergeCell ref="Y28:Z28"/>
    <mergeCell ref="S27:T27"/>
    <mergeCell ref="U27:V27"/>
    <mergeCell ref="W27:X27"/>
    <mergeCell ref="Y27:Z27"/>
    <mergeCell ref="C28:D28"/>
    <mergeCell ref="E28:F28"/>
    <mergeCell ref="G28:H28"/>
    <mergeCell ref="I28:J28"/>
    <mergeCell ref="K28:L28"/>
    <mergeCell ref="M28:N28"/>
    <mergeCell ref="Y25:Z25"/>
    <mergeCell ref="A27:B30"/>
    <mergeCell ref="C27:D27"/>
    <mergeCell ref="E27:F27"/>
    <mergeCell ref="G27:H27"/>
    <mergeCell ref="I27:J27"/>
    <mergeCell ref="K27:L27"/>
    <mergeCell ref="M27:N27"/>
    <mergeCell ref="O27:P27"/>
    <mergeCell ref="Q27:R27"/>
    <mergeCell ref="M25:N25"/>
    <mergeCell ref="O25:P25"/>
    <mergeCell ref="Q25:R25"/>
    <mergeCell ref="S25:T25"/>
    <mergeCell ref="U25:V25"/>
    <mergeCell ref="W25:X25"/>
    <mergeCell ref="Q24:R24"/>
    <mergeCell ref="S24:T24"/>
    <mergeCell ref="U24:V24"/>
    <mergeCell ref="W24:X24"/>
    <mergeCell ref="Y24:Z24"/>
    <mergeCell ref="C25:D25"/>
    <mergeCell ref="E25:F25"/>
    <mergeCell ref="G25:H25"/>
    <mergeCell ref="I25:J25"/>
    <mergeCell ref="K25:L25"/>
    <mergeCell ref="U23:V23"/>
    <mergeCell ref="W23:X23"/>
    <mergeCell ref="Y23:Z23"/>
    <mergeCell ref="C24:D24"/>
    <mergeCell ref="E24:F24"/>
    <mergeCell ref="G24:H24"/>
    <mergeCell ref="I24:J24"/>
    <mergeCell ref="K24:L24"/>
    <mergeCell ref="M24:N24"/>
    <mergeCell ref="O24:P24"/>
    <mergeCell ref="Y22:Z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M22:N22"/>
    <mergeCell ref="O22:P22"/>
    <mergeCell ref="Q22:R22"/>
    <mergeCell ref="S22:T22"/>
    <mergeCell ref="U22:V22"/>
    <mergeCell ref="W22:X22"/>
    <mergeCell ref="A22:B25"/>
    <mergeCell ref="C22:D22"/>
    <mergeCell ref="E22:F22"/>
    <mergeCell ref="G22:H22"/>
    <mergeCell ref="I22:J22"/>
    <mergeCell ref="K22:L22"/>
    <mergeCell ref="O20:P20"/>
    <mergeCell ref="Q20:R20"/>
    <mergeCell ref="S20:T20"/>
    <mergeCell ref="U20:V20"/>
    <mergeCell ref="W20:X20"/>
    <mergeCell ref="Y20:Z20"/>
    <mergeCell ref="C20:D20"/>
    <mergeCell ref="E20:F20"/>
    <mergeCell ref="G20:H20"/>
    <mergeCell ref="I20:J20"/>
    <mergeCell ref="K20:L20"/>
    <mergeCell ref="M20:N20"/>
    <mergeCell ref="O19:P19"/>
    <mergeCell ref="Q19:R19"/>
    <mergeCell ref="S19:T19"/>
    <mergeCell ref="U19:V19"/>
    <mergeCell ref="W19:X19"/>
    <mergeCell ref="Y19:Z19"/>
    <mergeCell ref="C19:D19"/>
    <mergeCell ref="E19:F19"/>
    <mergeCell ref="G19:H19"/>
    <mergeCell ref="I19:J19"/>
    <mergeCell ref="K19:L19"/>
    <mergeCell ref="M19:N19"/>
    <mergeCell ref="O18:P18"/>
    <mergeCell ref="Q18:R18"/>
    <mergeCell ref="S18:T18"/>
    <mergeCell ref="U18:V18"/>
    <mergeCell ref="W18:X18"/>
    <mergeCell ref="Y18:Z18"/>
    <mergeCell ref="S17:T17"/>
    <mergeCell ref="U17:V17"/>
    <mergeCell ref="W17:X17"/>
    <mergeCell ref="Y17:Z17"/>
    <mergeCell ref="C18:D18"/>
    <mergeCell ref="E18:F18"/>
    <mergeCell ref="G18:H18"/>
    <mergeCell ref="I18:J18"/>
    <mergeCell ref="K18:L18"/>
    <mergeCell ref="M18:N18"/>
    <mergeCell ref="Y15:Z15"/>
    <mergeCell ref="A17:B20"/>
    <mergeCell ref="C17:D17"/>
    <mergeCell ref="E17:F17"/>
    <mergeCell ref="G17:H17"/>
    <mergeCell ref="I17:J17"/>
    <mergeCell ref="K17:L17"/>
    <mergeCell ref="M17:N17"/>
    <mergeCell ref="O17:P17"/>
    <mergeCell ref="Q17:R17"/>
    <mergeCell ref="M15:N15"/>
    <mergeCell ref="O15:P15"/>
    <mergeCell ref="Q15:R15"/>
    <mergeCell ref="S15:T15"/>
    <mergeCell ref="U15:V15"/>
    <mergeCell ref="W15:X15"/>
    <mergeCell ref="Q14:R14"/>
    <mergeCell ref="S14:T14"/>
    <mergeCell ref="U14:V14"/>
    <mergeCell ref="W14:X14"/>
    <mergeCell ref="Y14:Z14"/>
    <mergeCell ref="C15:D15"/>
    <mergeCell ref="E15:F15"/>
    <mergeCell ref="G15:H15"/>
    <mergeCell ref="I15:J15"/>
    <mergeCell ref="K15:L15"/>
    <mergeCell ref="U13:V13"/>
    <mergeCell ref="W13:X13"/>
    <mergeCell ref="Y13:Z13"/>
    <mergeCell ref="C14:D14"/>
    <mergeCell ref="E14:F14"/>
    <mergeCell ref="G14:H14"/>
    <mergeCell ref="I14:J14"/>
    <mergeCell ref="K14:L14"/>
    <mergeCell ref="M14:N14"/>
    <mergeCell ref="O14:P14"/>
    <mergeCell ref="Y12:Z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M12:N12"/>
    <mergeCell ref="O12:P12"/>
    <mergeCell ref="Q12:R12"/>
    <mergeCell ref="S12:T12"/>
    <mergeCell ref="U12:V12"/>
    <mergeCell ref="W12:X12"/>
    <mergeCell ref="A12:B15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W10:X10"/>
    <mergeCell ref="Y10:Z10"/>
    <mergeCell ref="C10:D10"/>
    <mergeCell ref="E10:F10"/>
    <mergeCell ref="G10:H10"/>
    <mergeCell ref="I10:J10"/>
    <mergeCell ref="K10:L10"/>
    <mergeCell ref="M10:N10"/>
    <mergeCell ref="O9:P9"/>
    <mergeCell ref="Q9:R9"/>
    <mergeCell ref="S9:T9"/>
    <mergeCell ref="U9:V9"/>
    <mergeCell ref="W9:X9"/>
    <mergeCell ref="Y9:Z9"/>
    <mergeCell ref="C9:D9"/>
    <mergeCell ref="E9:F9"/>
    <mergeCell ref="G9:H9"/>
    <mergeCell ref="I9:J9"/>
    <mergeCell ref="K9:L9"/>
    <mergeCell ref="M9:N9"/>
    <mergeCell ref="O8:P8"/>
    <mergeCell ref="Q8:R8"/>
    <mergeCell ref="S8:T8"/>
    <mergeCell ref="U8:V8"/>
    <mergeCell ref="W8:X8"/>
    <mergeCell ref="Y8:Z8"/>
    <mergeCell ref="S7:T7"/>
    <mergeCell ref="U7:V7"/>
    <mergeCell ref="W7:X7"/>
    <mergeCell ref="Y7:Z7"/>
    <mergeCell ref="C8:D8"/>
    <mergeCell ref="E8:F8"/>
    <mergeCell ref="G8:H8"/>
    <mergeCell ref="I8:J8"/>
    <mergeCell ref="K8:L8"/>
    <mergeCell ref="M8:N8"/>
    <mergeCell ref="Y5:Z5"/>
    <mergeCell ref="A7:B10"/>
    <mergeCell ref="C7:D7"/>
    <mergeCell ref="E7:F7"/>
    <mergeCell ref="G7:H7"/>
    <mergeCell ref="I7:J7"/>
    <mergeCell ref="K7:L7"/>
    <mergeCell ref="M7:N7"/>
    <mergeCell ref="O7:P7"/>
    <mergeCell ref="Q7:R7"/>
    <mergeCell ref="M5:N5"/>
    <mergeCell ref="O5:P5"/>
    <mergeCell ref="Q5:R5"/>
    <mergeCell ref="S5:T5"/>
    <mergeCell ref="U5:V5"/>
    <mergeCell ref="W5:X5"/>
    <mergeCell ref="Q4:R4"/>
    <mergeCell ref="S4:T4"/>
    <mergeCell ref="U4:V4"/>
    <mergeCell ref="W4:X4"/>
    <mergeCell ref="Y4:Z4"/>
    <mergeCell ref="C5:D5"/>
    <mergeCell ref="E5:F5"/>
    <mergeCell ref="G5:H5"/>
    <mergeCell ref="I5:J5"/>
    <mergeCell ref="K5:L5"/>
    <mergeCell ref="U3:V3"/>
    <mergeCell ref="W3:X3"/>
    <mergeCell ref="Y3:Z3"/>
    <mergeCell ref="C4:D4"/>
    <mergeCell ref="E4:F4"/>
    <mergeCell ref="G4:H4"/>
    <mergeCell ref="I4:J4"/>
    <mergeCell ref="K4:L4"/>
    <mergeCell ref="M4:N4"/>
    <mergeCell ref="O4:P4"/>
    <mergeCell ref="Y2:Z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M2:N2"/>
    <mergeCell ref="O2:P2"/>
    <mergeCell ref="Q2:R2"/>
    <mergeCell ref="S2:T2"/>
    <mergeCell ref="U2:V2"/>
    <mergeCell ref="W2:X2"/>
    <mergeCell ref="A2:B5"/>
    <mergeCell ref="C2:D2"/>
    <mergeCell ref="E2:F2"/>
    <mergeCell ref="G2:H2"/>
    <mergeCell ref="I2:J2"/>
    <mergeCell ref="K2:L2"/>
    <mergeCell ref="C1:F1"/>
    <mergeCell ref="G1:J1"/>
    <mergeCell ref="K1:N1"/>
    <mergeCell ref="O1:R1"/>
    <mergeCell ref="S1:V1"/>
    <mergeCell ref="W1:Z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workbookViewId="0">
      <selection sqref="A1:R40"/>
    </sheetView>
  </sheetViews>
  <sheetFormatPr defaultRowHeight="16.5"/>
  <sheetData>
    <row r="1" spans="1:18">
      <c r="A1" s="9"/>
      <c r="B1" s="9"/>
      <c r="C1" s="1" t="s">
        <v>17</v>
      </c>
      <c r="D1" s="1"/>
      <c r="E1" s="1"/>
      <c r="F1" s="1"/>
      <c r="G1" s="1" t="s">
        <v>18</v>
      </c>
      <c r="H1" s="1"/>
      <c r="I1" s="1"/>
      <c r="J1" s="1"/>
      <c r="K1" s="1" t="s">
        <v>19</v>
      </c>
      <c r="L1" s="1"/>
      <c r="M1" s="1"/>
      <c r="N1" s="1"/>
      <c r="O1" s="1" t="s">
        <v>20</v>
      </c>
      <c r="P1" s="1"/>
      <c r="Q1" s="1"/>
      <c r="R1" s="1"/>
    </row>
    <row r="2" spans="1:18">
      <c r="A2" s="1" t="s">
        <v>0</v>
      </c>
      <c r="B2" s="1"/>
      <c r="C2" s="2" t="s">
        <v>1</v>
      </c>
      <c r="D2" s="2"/>
      <c r="E2" s="2" t="s">
        <v>2</v>
      </c>
      <c r="F2" s="2"/>
      <c r="G2" s="3" t="s">
        <v>1</v>
      </c>
      <c r="H2" s="3"/>
      <c r="I2" s="3" t="s">
        <v>2</v>
      </c>
      <c r="J2" s="3"/>
      <c r="K2" s="4" t="s">
        <v>1</v>
      </c>
      <c r="L2" s="4"/>
      <c r="M2" s="4" t="s">
        <v>2</v>
      </c>
      <c r="N2" s="4"/>
      <c r="O2" s="5" t="s">
        <v>1</v>
      </c>
      <c r="P2" s="5"/>
      <c r="Q2" s="5" t="s">
        <v>2</v>
      </c>
      <c r="R2" s="5"/>
    </row>
    <row r="3" spans="1:18">
      <c r="A3" s="1"/>
      <c r="B3" s="1"/>
      <c r="C3" s="6">
        <v>3.2000000000000002E-3</v>
      </c>
      <c r="D3" s="6"/>
      <c r="E3" s="6">
        <v>32.252699999999997</v>
      </c>
      <c r="F3" s="6"/>
      <c r="G3" s="6">
        <v>6.7999999999999996E-3</v>
      </c>
      <c r="H3" s="6"/>
      <c r="I3" s="6">
        <v>33.482199999999999</v>
      </c>
      <c r="J3" s="6"/>
      <c r="K3" s="6">
        <v>1.3100000000000001E-2</v>
      </c>
      <c r="L3" s="6"/>
      <c r="M3" s="6">
        <v>33.925400000000003</v>
      </c>
      <c r="N3" s="6"/>
      <c r="O3" s="6">
        <v>2.63E-2</v>
      </c>
      <c r="P3" s="6"/>
      <c r="Q3" s="6">
        <v>34.179200000000002</v>
      </c>
      <c r="R3" s="6"/>
    </row>
    <row r="4" spans="1:18">
      <c r="A4" s="1"/>
      <c r="B4" s="1"/>
      <c r="C4" s="2" t="s">
        <v>1</v>
      </c>
      <c r="D4" s="2"/>
      <c r="E4" s="2" t="s">
        <v>3</v>
      </c>
      <c r="F4" s="2"/>
      <c r="G4" s="3" t="s">
        <v>1</v>
      </c>
      <c r="H4" s="3"/>
      <c r="I4" s="3" t="s">
        <v>3</v>
      </c>
      <c r="J4" s="3"/>
      <c r="K4" s="4" t="s">
        <v>1</v>
      </c>
      <c r="L4" s="4"/>
      <c r="M4" s="4" t="s">
        <v>3</v>
      </c>
      <c r="N4" s="4"/>
      <c r="O4" s="5" t="s">
        <v>1</v>
      </c>
      <c r="P4" s="5"/>
      <c r="Q4" s="5" t="s">
        <v>3</v>
      </c>
      <c r="R4" s="5"/>
    </row>
    <row r="5" spans="1:18">
      <c r="A5" s="1"/>
      <c r="B5" s="1"/>
      <c r="C5" s="9"/>
      <c r="D5" s="9"/>
      <c r="E5" s="6">
        <v>0.88319999999999999</v>
      </c>
      <c r="F5" s="6"/>
      <c r="G5" s="9"/>
      <c r="H5" s="9"/>
      <c r="I5" s="13">
        <v>0.89849999999999997</v>
      </c>
      <c r="J5" s="13"/>
      <c r="K5" s="9"/>
      <c r="L5" s="9"/>
      <c r="M5" s="6">
        <v>0.90439999999999998</v>
      </c>
      <c r="N5" s="6"/>
      <c r="O5" s="9"/>
      <c r="P5" s="9"/>
      <c r="Q5" s="6">
        <v>0.91069999999999995</v>
      </c>
      <c r="R5" s="6"/>
    </row>
    <row r="6" spans="1:18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>
      <c r="A7" s="1" t="s">
        <v>4</v>
      </c>
      <c r="B7" s="1"/>
      <c r="C7" s="2" t="s">
        <v>1</v>
      </c>
      <c r="D7" s="2"/>
      <c r="E7" s="2" t="s">
        <v>2</v>
      </c>
      <c r="F7" s="2"/>
      <c r="G7" s="3" t="s">
        <v>1</v>
      </c>
      <c r="H7" s="3"/>
      <c r="I7" s="3" t="s">
        <v>2</v>
      </c>
      <c r="J7" s="3"/>
      <c r="K7" s="4" t="s">
        <v>1</v>
      </c>
      <c r="L7" s="4"/>
      <c r="M7" s="4" t="s">
        <v>2</v>
      </c>
      <c r="N7" s="4"/>
      <c r="O7" s="5" t="s">
        <v>1</v>
      </c>
      <c r="P7" s="5"/>
      <c r="Q7" s="5" t="s">
        <v>2</v>
      </c>
      <c r="R7" s="5"/>
    </row>
    <row r="8" spans="1:18">
      <c r="A8" s="1"/>
      <c r="B8" s="1"/>
      <c r="C8" s="6">
        <v>3.3999999999999998E-3</v>
      </c>
      <c r="D8" s="6"/>
      <c r="E8" s="6">
        <v>32.140900000000002</v>
      </c>
      <c r="F8" s="6"/>
      <c r="G8" s="6">
        <v>6.8999999999999999E-3</v>
      </c>
      <c r="H8" s="6"/>
      <c r="I8" s="6">
        <v>35.851799999999997</v>
      </c>
      <c r="J8" s="6"/>
      <c r="K8" s="6">
        <v>1.3299999999999999E-2</v>
      </c>
      <c r="L8" s="6"/>
      <c r="M8" s="6">
        <v>38.001800000000003</v>
      </c>
      <c r="N8" s="6"/>
      <c r="O8" s="6">
        <v>2.64E-2</v>
      </c>
      <c r="P8" s="6"/>
      <c r="Q8" s="6">
        <v>39.768300000000004</v>
      </c>
      <c r="R8" s="6"/>
    </row>
    <row r="9" spans="1:18">
      <c r="A9" s="1"/>
      <c r="B9" s="1"/>
      <c r="C9" s="2" t="s">
        <v>1</v>
      </c>
      <c r="D9" s="2"/>
      <c r="E9" s="2" t="s">
        <v>3</v>
      </c>
      <c r="F9" s="2"/>
      <c r="G9" s="3" t="s">
        <v>1</v>
      </c>
      <c r="H9" s="3"/>
      <c r="I9" s="3" t="s">
        <v>3</v>
      </c>
      <c r="J9" s="3"/>
      <c r="K9" s="4" t="s">
        <v>1</v>
      </c>
      <c r="L9" s="4"/>
      <c r="M9" s="4" t="s">
        <v>3</v>
      </c>
      <c r="N9" s="4"/>
      <c r="O9" s="5" t="s">
        <v>1</v>
      </c>
      <c r="P9" s="5"/>
      <c r="Q9" s="5" t="s">
        <v>3</v>
      </c>
      <c r="R9" s="5"/>
    </row>
    <row r="10" spans="1:18">
      <c r="A10" s="1"/>
      <c r="B10" s="1"/>
      <c r="C10" s="9"/>
      <c r="D10" s="9"/>
      <c r="E10" s="6">
        <v>0.93799999999999994</v>
      </c>
      <c r="F10" s="6"/>
      <c r="G10" s="9"/>
      <c r="H10" s="9"/>
      <c r="I10" s="6">
        <v>0.97240000000000004</v>
      </c>
      <c r="J10" s="6"/>
      <c r="K10" s="9"/>
      <c r="L10" s="9"/>
      <c r="M10" s="6">
        <v>0.98240000000000005</v>
      </c>
      <c r="N10" s="6"/>
      <c r="O10" s="9"/>
      <c r="P10" s="9"/>
      <c r="Q10" s="6">
        <v>0.98740000000000006</v>
      </c>
      <c r="R10" s="6"/>
    </row>
    <row r="11" spans="1:1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>
      <c r="A12" s="1" t="s">
        <v>5</v>
      </c>
      <c r="B12" s="1"/>
      <c r="C12" s="2" t="s">
        <v>1</v>
      </c>
      <c r="D12" s="2"/>
      <c r="E12" s="2" t="s">
        <v>2</v>
      </c>
      <c r="F12" s="2"/>
      <c r="G12" s="3" t="s">
        <v>1</v>
      </c>
      <c r="H12" s="3"/>
      <c r="I12" s="3" t="s">
        <v>2</v>
      </c>
      <c r="J12" s="3"/>
      <c r="K12" s="4" t="s">
        <v>1</v>
      </c>
      <c r="L12" s="4"/>
      <c r="M12" s="4" t="s">
        <v>2</v>
      </c>
      <c r="N12" s="4"/>
      <c r="O12" s="5" t="s">
        <v>1</v>
      </c>
      <c r="P12" s="5"/>
      <c r="Q12" s="5" t="s">
        <v>2</v>
      </c>
      <c r="R12" s="5"/>
    </row>
    <row r="13" spans="1:18">
      <c r="A13" s="1"/>
      <c r="B13" s="1"/>
      <c r="C13" s="6">
        <v>3.7000000000000002E-3</v>
      </c>
      <c r="D13" s="6"/>
      <c r="E13" s="6">
        <v>36.016100000000002</v>
      </c>
      <c r="F13" s="6"/>
      <c r="G13" s="6">
        <v>7.1000000000000004E-3</v>
      </c>
      <c r="H13" s="6"/>
      <c r="I13" s="6">
        <v>39.135899999999999</v>
      </c>
      <c r="J13" s="6"/>
      <c r="K13" s="6">
        <v>1.3299999999999999E-2</v>
      </c>
      <c r="L13" s="6"/>
      <c r="M13" s="13">
        <v>39.584000000000003</v>
      </c>
      <c r="N13" s="13"/>
      <c r="O13" s="6">
        <v>2.6499999999999999E-2</v>
      </c>
      <c r="P13" s="6"/>
      <c r="Q13" s="13">
        <v>39.744599999999998</v>
      </c>
      <c r="R13" s="13"/>
    </row>
    <row r="14" spans="1:18">
      <c r="A14" s="1"/>
      <c r="B14" s="1"/>
      <c r="C14" s="2" t="s">
        <v>1</v>
      </c>
      <c r="D14" s="2"/>
      <c r="E14" s="2" t="s">
        <v>3</v>
      </c>
      <c r="F14" s="2"/>
      <c r="G14" s="3" t="s">
        <v>1</v>
      </c>
      <c r="H14" s="3"/>
      <c r="I14" s="3" t="s">
        <v>3</v>
      </c>
      <c r="J14" s="3"/>
      <c r="K14" s="4" t="s">
        <v>1</v>
      </c>
      <c r="L14" s="4"/>
      <c r="M14" s="4" t="s">
        <v>3</v>
      </c>
      <c r="N14" s="4"/>
      <c r="O14" s="5" t="s">
        <v>1</v>
      </c>
      <c r="P14" s="5"/>
      <c r="Q14" s="5" t="s">
        <v>3</v>
      </c>
      <c r="R14" s="5"/>
    </row>
    <row r="15" spans="1:18">
      <c r="A15" s="1"/>
      <c r="B15" s="1"/>
      <c r="C15" s="9"/>
      <c r="D15" s="9"/>
      <c r="E15" s="6">
        <v>0.97629999999999995</v>
      </c>
      <c r="F15" s="6"/>
      <c r="G15" s="9"/>
      <c r="H15" s="9"/>
      <c r="I15" s="6">
        <v>0.98470000000000002</v>
      </c>
      <c r="J15" s="6"/>
      <c r="K15" s="9"/>
      <c r="L15" s="9"/>
      <c r="M15" s="6">
        <v>0.98550000000000004</v>
      </c>
      <c r="N15" s="6"/>
      <c r="O15" s="9"/>
      <c r="P15" s="9"/>
      <c r="Q15" s="13">
        <v>0.98599999999999999</v>
      </c>
      <c r="R15" s="13"/>
    </row>
    <row r="16" spans="1:1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>
      <c r="A17" s="1" t="s">
        <v>6</v>
      </c>
      <c r="B17" s="1"/>
      <c r="C17" s="2" t="s">
        <v>1</v>
      </c>
      <c r="D17" s="2"/>
      <c r="E17" s="2" t="s">
        <v>2</v>
      </c>
      <c r="F17" s="2"/>
      <c r="G17" s="3" t="s">
        <v>1</v>
      </c>
      <c r="H17" s="3"/>
      <c r="I17" s="3" t="s">
        <v>2</v>
      </c>
      <c r="J17" s="3"/>
      <c r="K17" s="4" t="s">
        <v>1</v>
      </c>
      <c r="L17" s="4"/>
      <c r="M17" s="4" t="s">
        <v>2</v>
      </c>
      <c r="N17" s="4"/>
      <c r="O17" s="5" t="s">
        <v>1</v>
      </c>
      <c r="P17" s="5"/>
      <c r="Q17" s="5" t="s">
        <v>2</v>
      </c>
      <c r="R17" s="5"/>
    </row>
    <row r="18" spans="1:18">
      <c r="A18" s="1"/>
      <c r="B18" s="1"/>
      <c r="C18" s="6">
        <v>3.3999999999999998E-3</v>
      </c>
      <c r="D18" s="6"/>
      <c r="E18" s="6">
        <v>29.7104</v>
      </c>
      <c r="F18" s="6"/>
      <c r="G18" s="6">
        <v>6.8999999999999999E-3</v>
      </c>
      <c r="H18" s="6"/>
      <c r="I18" s="6">
        <v>33.491900000000001</v>
      </c>
      <c r="J18" s="6"/>
      <c r="K18" s="6">
        <v>1.3100000000000001E-2</v>
      </c>
      <c r="L18" s="6"/>
      <c r="M18" s="6">
        <v>35.6524</v>
      </c>
      <c r="N18" s="6"/>
      <c r="O18" s="6">
        <v>2.6200000000000001E-2</v>
      </c>
      <c r="P18" s="6"/>
      <c r="Q18" s="6">
        <v>37.505499999999998</v>
      </c>
      <c r="R18" s="6"/>
    </row>
    <row r="19" spans="1:18">
      <c r="A19" s="1"/>
      <c r="B19" s="1"/>
      <c r="C19" s="2" t="s">
        <v>1</v>
      </c>
      <c r="D19" s="2"/>
      <c r="E19" s="2" t="s">
        <v>3</v>
      </c>
      <c r="F19" s="2"/>
      <c r="G19" s="3" t="s">
        <v>1</v>
      </c>
      <c r="H19" s="3"/>
      <c r="I19" s="3" t="s">
        <v>3</v>
      </c>
      <c r="J19" s="3"/>
      <c r="K19" s="4" t="s">
        <v>1</v>
      </c>
      <c r="L19" s="4"/>
      <c r="M19" s="4" t="s">
        <v>3</v>
      </c>
      <c r="N19" s="4"/>
      <c r="O19" s="5" t="s">
        <v>1</v>
      </c>
      <c r="P19" s="5"/>
      <c r="Q19" s="5" t="s">
        <v>3</v>
      </c>
      <c r="R19" s="5"/>
    </row>
    <row r="20" spans="1:18">
      <c r="A20" s="1"/>
      <c r="B20" s="1"/>
      <c r="C20" s="9"/>
      <c r="D20" s="9"/>
      <c r="E20" s="6">
        <v>0.89419999999999999</v>
      </c>
      <c r="F20" s="6"/>
      <c r="G20" s="9"/>
      <c r="H20" s="9"/>
      <c r="I20" s="6">
        <v>0.93659999999999999</v>
      </c>
      <c r="J20" s="6"/>
      <c r="K20" s="9"/>
      <c r="L20" s="9"/>
      <c r="M20" s="6">
        <v>0.95440000000000003</v>
      </c>
      <c r="N20" s="6"/>
      <c r="O20" s="9"/>
      <c r="P20" s="9"/>
      <c r="Q20" s="13">
        <v>0.96599999999999997</v>
      </c>
      <c r="R20" s="13"/>
    </row>
    <row r="21" spans="1:18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>
      <c r="A22" s="1" t="s">
        <v>7</v>
      </c>
      <c r="B22" s="1"/>
      <c r="C22" s="2" t="s">
        <v>1</v>
      </c>
      <c r="D22" s="2"/>
      <c r="E22" s="2" t="s">
        <v>2</v>
      </c>
      <c r="F22" s="2"/>
      <c r="G22" s="3" t="s">
        <v>1</v>
      </c>
      <c r="H22" s="3"/>
      <c r="I22" s="3" t="s">
        <v>2</v>
      </c>
      <c r="J22" s="3"/>
      <c r="K22" s="4" t="s">
        <v>1</v>
      </c>
      <c r="L22" s="4"/>
      <c r="M22" s="4" t="s">
        <v>2</v>
      </c>
      <c r="N22" s="4"/>
      <c r="O22" s="5" t="s">
        <v>1</v>
      </c>
      <c r="P22" s="5"/>
      <c r="Q22" s="5" t="s">
        <v>2</v>
      </c>
      <c r="R22" s="5"/>
    </row>
    <row r="23" spans="1:18">
      <c r="A23" s="1"/>
      <c r="B23" s="1"/>
      <c r="C23" s="6">
        <v>3.3999999999999998E-3</v>
      </c>
      <c r="D23" s="6"/>
      <c r="E23" s="6">
        <v>24.146100000000001</v>
      </c>
      <c r="F23" s="6"/>
      <c r="G23" s="6">
        <v>6.8999999999999999E-3</v>
      </c>
      <c r="H23" s="6"/>
      <c r="I23" s="6">
        <v>28.028700000000001</v>
      </c>
      <c r="J23" s="6"/>
      <c r="K23" s="6">
        <v>1.32E-2</v>
      </c>
      <c r="L23" s="6"/>
      <c r="M23" s="6">
        <v>30.746099999999998</v>
      </c>
      <c r="N23" s="6"/>
      <c r="O23" s="6">
        <v>2.64E-2</v>
      </c>
      <c r="P23" s="6"/>
      <c r="Q23" s="6">
        <v>33.832099999999997</v>
      </c>
      <c r="R23" s="6"/>
    </row>
    <row r="24" spans="1:18">
      <c r="A24" s="1"/>
      <c r="B24" s="1"/>
      <c r="C24" s="2" t="s">
        <v>1</v>
      </c>
      <c r="D24" s="2"/>
      <c r="E24" s="2" t="s">
        <v>3</v>
      </c>
      <c r="F24" s="2"/>
      <c r="G24" s="3" t="s">
        <v>1</v>
      </c>
      <c r="H24" s="3"/>
      <c r="I24" s="3" t="s">
        <v>3</v>
      </c>
      <c r="J24" s="3"/>
      <c r="K24" s="4" t="s">
        <v>1</v>
      </c>
      <c r="L24" s="4"/>
      <c r="M24" s="4" t="s">
        <v>3</v>
      </c>
      <c r="N24" s="4"/>
      <c r="O24" s="5" t="s">
        <v>1</v>
      </c>
      <c r="P24" s="5"/>
      <c r="Q24" s="5" t="s">
        <v>3</v>
      </c>
      <c r="R24" s="5"/>
    </row>
    <row r="25" spans="1:18">
      <c r="A25" s="1"/>
      <c r="B25" s="1"/>
      <c r="C25" s="9"/>
      <c r="D25" s="9"/>
      <c r="E25" s="6">
        <v>0.86519999999999997</v>
      </c>
      <c r="F25" s="6"/>
      <c r="G25" s="9"/>
      <c r="H25" s="9"/>
      <c r="I25" s="13">
        <v>0.93600000000000005</v>
      </c>
      <c r="J25" s="13"/>
      <c r="K25" s="9"/>
      <c r="L25" s="9"/>
      <c r="M25" s="6">
        <v>0.96250000000000002</v>
      </c>
      <c r="N25" s="6"/>
      <c r="O25" s="9"/>
      <c r="P25" s="9"/>
      <c r="Q25" s="6">
        <v>0.97909999999999997</v>
      </c>
      <c r="R25" s="6"/>
    </row>
    <row r="26" spans="1:18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>
      <c r="A27" s="1" t="s">
        <v>8</v>
      </c>
      <c r="B27" s="1"/>
      <c r="C27" s="2" t="s">
        <v>1</v>
      </c>
      <c r="D27" s="2"/>
      <c r="E27" s="2" t="s">
        <v>2</v>
      </c>
      <c r="F27" s="2"/>
      <c r="G27" s="3" t="s">
        <v>1</v>
      </c>
      <c r="H27" s="3"/>
      <c r="I27" s="3" t="s">
        <v>2</v>
      </c>
      <c r="J27" s="3"/>
      <c r="K27" s="4" t="s">
        <v>1</v>
      </c>
      <c r="L27" s="4"/>
      <c r="M27" s="4" t="s">
        <v>2</v>
      </c>
      <c r="N27" s="4"/>
      <c r="O27" s="5" t="s">
        <v>1</v>
      </c>
      <c r="P27" s="5"/>
      <c r="Q27" s="5" t="s">
        <v>2</v>
      </c>
      <c r="R27" s="5"/>
    </row>
    <row r="28" spans="1:18">
      <c r="A28" s="1"/>
      <c r="B28" s="1"/>
      <c r="C28" s="6">
        <v>6.1999999999999998E-3</v>
      </c>
      <c r="D28" s="6"/>
      <c r="E28" s="6">
        <v>31.860900000000001</v>
      </c>
      <c r="F28" s="6"/>
      <c r="G28" s="6">
        <v>1.3100000000000001E-2</v>
      </c>
      <c r="H28" s="6"/>
      <c r="I28" s="6">
        <v>34.173200000000001</v>
      </c>
      <c r="J28" s="6"/>
      <c r="K28" s="6">
        <v>2.5600000000000001E-2</v>
      </c>
      <c r="L28" s="6"/>
      <c r="M28" s="6">
        <v>35.363799999999998</v>
      </c>
      <c r="N28" s="6"/>
      <c r="O28" s="6">
        <v>5.1200000000000002E-2</v>
      </c>
      <c r="P28" s="6"/>
      <c r="Q28" s="6">
        <v>36.486199999999997</v>
      </c>
      <c r="R28" s="6"/>
    </row>
    <row r="29" spans="1:18">
      <c r="A29" s="1"/>
      <c r="B29" s="1"/>
      <c r="C29" s="2" t="s">
        <v>1</v>
      </c>
      <c r="D29" s="2"/>
      <c r="E29" s="2" t="s">
        <v>3</v>
      </c>
      <c r="F29" s="2"/>
      <c r="G29" s="3" t="s">
        <v>1</v>
      </c>
      <c r="H29" s="3"/>
      <c r="I29" s="3" t="s">
        <v>3</v>
      </c>
      <c r="J29" s="3"/>
      <c r="K29" s="4" t="s">
        <v>1</v>
      </c>
      <c r="L29" s="4"/>
      <c r="M29" s="4" t="s">
        <v>3</v>
      </c>
      <c r="N29" s="4"/>
      <c r="O29" s="5" t="s">
        <v>1</v>
      </c>
      <c r="P29" s="5"/>
      <c r="Q29" s="5" t="s">
        <v>3</v>
      </c>
      <c r="R29" s="5"/>
    </row>
    <row r="30" spans="1:18">
      <c r="A30" s="1"/>
      <c r="B30" s="1"/>
      <c r="C30" s="9"/>
      <c r="D30" s="9"/>
      <c r="E30" s="6">
        <v>0.92159999999999997</v>
      </c>
      <c r="F30" s="6"/>
      <c r="G30" s="9"/>
      <c r="H30" s="9"/>
      <c r="I30" s="6">
        <v>0.94730000000000003</v>
      </c>
      <c r="J30" s="6"/>
      <c r="K30" s="9"/>
      <c r="L30" s="9"/>
      <c r="M30" s="6">
        <v>0.96050000000000002</v>
      </c>
      <c r="N30" s="6"/>
      <c r="O30" s="9"/>
      <c r="P30" s="9"/>
      <c r="Q30" s="6">
        <v>0.97070000000000001</v>
      </c>
      <c r="R30" s="6"/>
    </row>
    <row r="31" spans="1:18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>
      <c r="A32" s="1" t="s">
        <v>9</v>
      </c>
      <c r="B32" s="1"/>
      <c r="C32" s="2" t="s">
        <v>1</v>
      </c>
      <c r="D32" s="2"/>
      <c r="E32" s="2" t="s">
        <v>2</v>
      </c>
      <c r="F32" s="2"/>
      <c r="G32" s="3" t="s">
        <v>1</v>
      </c>
      <c r="H32" s="3"/>
      <c r="I32" s="3" t="s">
        <v>2</v>
      </c>
      <c r="J32" s="3"/>
      <c r="K32" s="4" t="s">
        <v>1</v>
      </c>
      <c r="L32" s="4"/>
      <c r="M32" s="4" t="s">
        <v>2</v>
      </c>
      <c r="N32" s="4"/>
      <c r="O32" s="5" t="s">
        <v>1</v>
      </c>
      <c r="P32" s="5"/>
      <c r="Q32" s="5" t="s">
        <v>2</v>
      </c>
      <c r="R32" s="5"/>
    </row>
    <row r="33" spans="1:18">
      <c r="A33" s="1"/>
      <c r="B33" s="1"/>
      <c r="C33" s="6">
        <v>3.5000000000000001E-3</v>
      </c>
      <c r="D33" s="6"/>
      <c r="E33" s="6">
        <v>26.610800000000001</v>
      </c>
      <c r="F33" s="6"/>
      <c r="G33" s="13">
        <v>7.0000000000000001E-3</v>
      </c>
      <c r="H33" s="13"/>
      <c r="I33" s="6">
        <v>28.7332</v>
      </c>
      <c r="J33" s="6"/>
      <c r="K33" s="6">
        <v>1.32E-2</v>
      </c>
      <c r="L33" s="6"/>
      <c r="M33" s="13">
        <v>30.324999999999999</v>
      </c>
      <c r="N33" s="13"/>
      <c r="O33" s="6">
        <v>2.64E-2</v>
      </c>
      <c r="P33" s="6"/>
      <c r="Q33" s="13">
        <v>32.159799999999997</v>
      </c>
      <c r="R33" s="13"/>
    </row>
    <row r="34" spans="1:18">
      <c r="A34" s="1"/>
      <c r="B34" s="1"/>
      <c r="C34" s="2" t="s">
        <v>1</v>
      </c>
      <c r="D34" s="2"/>
      <c r="E34" s="2" t="s">
        <v>3</v>
      </c>
      <c r="F34" s="2"/>
      <c r="G34" s="3" t="s">
        <v>1</v>
      </c>
      <c r="H34" s="3"/>
      <c r="I34" s="3" t="s">
        <v>3</v>
      </c>
      <c r="J34" s="3"/>
      <c r="K34" s="4" t="s">
        <v>1</v>
      </c>
      <c r="L34" s="4"/>
      <c r="M34" s="4" t="s">
        <v>3</v>
      </c>
      <c r="N34" s="4"/>
      <c r="O34" s="5" t="s">
        <v>1</v>
      </c>
      <c r="P34" s="5"/>
      <c r="Q34" s="5" t="s">
        <v>3</v>
      </c>
      <c r="R34" s="5"/>
    </row>
    <row r="35" spans="1:18">
      <c r="A35" s="1"/>
      <c r="B35" s="1"/>
      <c r="C35" s="9"/>
      <c r="D35" s="9"/>
      <c r="E35" s="6">
        <v>0.8599</v>
      </c>
      <c r="F35" s="6"/>
      <c r="G35" s="9"/>
      <c r="H35" s="9"/>
      <c r="I35" s="6">
        <v>0.91439999999999999</v>
      </c>
      <c r="J35" s="6"/>
      <c r="K35" s="9"/>
      <c r="L35" s="9"/>
      <c r="M35" s="13">
        <v>0.94199999999999995</v>
      </c>
      <c r="N35" s="13"/>
      <c r="O35" s="9"/>
      <c r="P35" s="9"/>
      <c r="Q35" s="13">
        <v>0.9617</v>
      </c>
      <c r="R35" s="13"/>
    </row>
    <row r="36" spans="1:1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>
      <c r="A37" s="1" t="s">
        <v>10</v>
      </c>
      <c r="B37" s="1"/>
      <c r="C37" s="2" t="s">
        <v>1</v>
      </c>
      <c r="D37" s="2"/>
      <c r="E37" s="2" t="s">
        <v>2</v>
      </c>
      <c r="F37" s="2"/>
      <c r="G37" s="3" t="s">
        <v>1</v>
      </c>
      <c r="H37" s="3"/>
      <c r="I37" s="3" t="s">
        <v>2</v>
      </c>
      <c r="J37" s="3"/>
      <c r="K37" s="4" t="s">
        <v>1</v>
      </c>
      <c r="L37" s="4"/>
      <c r="M37" s="4" t="s">
        <v>2</v>
      </c>
      <c r="N37" s="4"/>
      <c r="O37" s="5" t="s">
        <v>1</v>
      </c>
      <c r="P37" s="5"/>
      <c r="Q37" s="5" t="s">
        <v>2</v>
      </c>
      <c r="R37" s="5"/>
    </row>
    <row r="38" spans="1:18">
      <c r="A38" s="1"/>
      <c r="B38" s="1"/>
      <c r="C38" s="6">
        <f>AVERAGE(C3,C8,C13,C18,C23,C28,C33)</f>
        <v>3.8285714285714286E-3</v>
      </c>
      <c r="D38" s="6"/>
      <c r="E38" s="6">
        <f>AVERAGE(E3,E8,E13,E18,E23,E28,E33)</f>
        <v>30.39112857142857</v>
      </c>
      <c r="F38" s="6"/>
      <c r="G38" s="6">
        <f>AVERAGE(G3,G8,G13,G18,G23,G28,G33)</f>
        <v>7.8142857142857146E-3</v>
      </c>
      <c r="H38" s="6"/>
      <c r="I38" s="6">
        <f>AVERAGE(I3,I8,I13,I18,I23,I28,I33)</f>
        <v>33.270985714285715</v>
      </c>
      <c r="J38" s="6"/>
      <c r="K38" s="6">
        <f>AVERAGE(K3,K8,K13,K18,K23,K28,K33)</f>
        <v>1.4971428571428571E-2</v>
      </c>
      <c r="L38" s="6"/>
      <c r="M38" s="13">
        <f>AVERAGE(M3,M8,M13,M18,M23,M28,M33)</f>
        <v>34.799785714285711</v>
      </c>
      <c r="N38" s="13"/>
      <c r="O38" s="13">
        <f>AVERAGE(O3,O8,O13,O18,O23,O28,O33)</f>
        <v>2.9914285714285716E-2</v>
      </c>
      <c r="P38" s="13"/>
      <c r="Q38" s="13">
        <f>AVERAGE(Q3,Q8,Q13,Q18,Q23,Q28,Q33)</f>
        <v>36.239385714285717</v>
      </c>
      <c r="R38" s="13"/>
    </row>
    <row r="39" spans="1:18">
      <c r="A39" s="1"/>
      <c r="B39" s="1"/>
      <c r="C39" s="2" t="s">
        <v>1</v>
      </c>
      <c r="D39" s="2"/>
      <c r="E39" s="2" t="s">
        <v>3</v>
      </c>
      <c r="F39" s="2"/>
      <c r="G39" s="3" t="s">
        <v>1</v>
      </c>
      <c r="H39" s="3"/>
      <c r="I39" s="3" t="s">
        <v>3</v>
      </c>
      <c r="J39" s="3"/>
      <c r="K39" s="4" t="s">
        <v>1</v>
      </c>
      <c r="L39" s="4"/>
      <c r="M39" s="4" t="s">
        <v>3</v>
      </c>
      <c r="N39" s="4"/>
      <c r="O39" s="5" t="s">
        <v>1</v>
      </c>
      <c r="P39" s="5"/>
      <c r="Q39" s="5" t="s">
        <v>3</v>
      </c>
      <c r="R39" s="5"/>
    </row>
    <row r="40" spans="1:18">
      <c r="A40" s="1"/>
      <c r="B40" s="1"/>
      <c r="C40" s="9"/>
      <c r="D40" s="9"/>
      <c r="E40" s="6">
        <f>AVERAGE(E5,E10,E15,E20,E25,E30,E35)</f>
        <v>0.90548571428571412</v>
      </c>
      <c r="F40" s="6"/>
      <c r="G40" s="14"/>
      <c r="H40" s="14"/>
      <c r="I40" s="6">
        <f>AVERAGE(I5,I10,I15,I20,I25,I30,I35)</f>
        <v>0.94141428571428576</v>
      </c>
      <c r="J40" s="6"/>
      <c r="K40" s="9"/>
      <c r="L40" s="9"/>
      <c r="M40" s="15">
        <f>AVERAGE(M5,M10,M15,M20,M25,M30,M35)</f>
        <v>0.95595714285714284</v>
      </c>
      <c r="N40" s="15"/>
      <c r="O40" s="9"/>
      <c r="P40" s="9"/>
      <c r="Q40" s="13">
        <f>AVERAGE(Q5,Q10,Q15,Q20,Q25,Q30,Q35)</f>
        <v>0.9659428571428571</v>
      </c>
      <c r="R40" s="13"/>
    </row>
  </sheetData>
  <mergeCells count="236">
    <mergeCell ref="E40:F40"/>
    <mergeCell ref="I40:J40"/>
    <mergeCell ref="M40:N40"/>
    <mergeCell ref="Q40:R40"/>
    <mergeCell ref="Q38:R38"/>
    <mergeCell ref="C39:D39"/>
    <mergeCell ref="E39:F39"/>
    <mergeCell ref="G39:H39"/>
    <mergeCell ref="I39:J39"/>
    <mergeCell ref="K39:L39"/>
    <mergeCell ref="M39:N39"/>
    <mergeCell ref="O39:P39"/>
    <mergeCell ref="Q39:R39"/>
    <mergeCell ref="M37:N37"/>
    <mergeCell ref="O37:P37"/>
    <mergeCell ref="Q37:R37"/>
    <mergeCell ref="C38:D38"/>
    <mergeCell ref="E38:F38"/>
    <mergeCell ref="G38:H38"/>
    <mergeCell ref="I38:J38"/>
    <mergeCell ref="K38:L38"/>
    <mergeCell ref="M38:N38"/>
    <mergeCell ref="O38:P38"/>
    <mergeCell ref="E35:F35"/>
    <mergeCell ref="I35:J35"/>
    <mergeCell ref="M35:N35"/>
    <mergeCell ref="Q35:R35"/>
    <mergeCell ref="A37:B40"/>
    <mergeCell ref="C37:D37"/>
    <mergeCell ref="E37:F37"/>
    <mergeCell ref="G37:H37"/>
    <mergeCell ref="I37:J37"/>
    <mergeCell ref="K37:L37"/>
    <mergeCell ref="Q33:R33"/>
    <mergeCell ref="C34:D34"/>
    <mergeCell ref="E34:F34"/>
    <mergeCell ref="G34:H34"/>
    <mergeCell ref="I34:J34"/>
    <mergeCell ref="K34:L34"/>
    <mergeCell ref="M34:N34"/>
    <mergeCell ref="O34:P34"/>
    <mergeCell ref="Q34:R34"/>
    <mergeCell ref="M32:N32"/>
    <mergeCell ref="O32:P32"/>
    <mergeCell ref="Q32:R32"/>
    <mergeCell ref="C33:D33"/>
    <mergeCell ref="E33:F33"/>
    <mergeCell ref="G33:H33"/>
    <mergeCell ref="I33:J33"/>
    <mergeCell ref="K33:L33"/>
    <mergeCell ref="M33:N33"/>
    <mergeCell ref="O33:P33"/>
    <mergeCell ref="E30:F30"/>
    <mergeCell ref="I30:J30"/>
    <mergeCell ref="M30:N30"/>
    <mergeCell ref="Q30:R30"/>
    <mergeCell ref="A32:B35"/>
    <mergeCell ref="C32:D32"/>
    <mergeCell ref="E32:F32"/>
    <mergeCell ref="G32:H32"/>
    <mergeCell ref="I32:J32"/>
    <mergeCell ref="K32:L32"/>
    <mergeCell ref="Q28:R28"/>
    <mergeCell ref="C29:D29"/>
    <mergeCell ref="E29:F29"/>
    <mergeCell ref="G29:H29"/>
    <mergeCell ref="I29:J29"/>
    <mergeCell ref="K29:L29"/>
    <mergeCell ref="M29:N29"/>
    <mergeCell ref="O29:P29"/>
    <mergeCell ref="Q29:R29"/>
    <mergeCell ref="M27:N27"/>
    <mergeCell ref="O27:P27"/>
    <mergeCell ref="Q27:R27"/>
    <mergeCell ref="C28:D28"/>
    <mergeCell ref="E28:F28"/>
    <mergeCell ref="G28:H28"/>
    <mergeCell ref="I28:J28"/>
    <mergeCell ref="K28:L28"/>
    <mergeCell ref="M28:N28"/>
    <mergeCell ref="O28:P28"/>
    <mergeCell ref="E25:F25"/>
    <mergeCell ref="I25:J25"/>
    <mergeCell ref="M25:N25"/>
    <mergeCell ref="Q25:R25"/>
    <mergeCell ref="A27:B30"/>
    <mergeCell ref="C27:D27"/>
    <mergeCell ref="E27:F27"/>
    <mergeCell ref="G27:H27"/>
    <mergeCell ref="I27:J27"/>
    <mergeCell ref="K27:L27"/>
    <mergeCell ref="Q23:R23"/>
    <mergeCell ref="C24:D24"/>
    <mergeCell ref="E24:F24"/>
    <mergeCell ref="G24:H24"/>
    <mergeCell ref="I24:J24"/>
    <mergeCell ref="K24:L24"/>
    <mergeCell ref="M24:N24"/>
    <mergeCell ref="O24:P24"/>
    <mergeCell ref="Q24:R24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E20:F20"/>
    <mergeCell ref="I20:J20"/>
    <mergeCell ref="M20:N20"/>
    <mergeCell ref="Q20:R20"/>
    <mergeCell ref="A22:B25"/>
    <mergeCell ref="C22:D22"/>
    <mergeCell ref="E22:F22"/>
    <mergeCell ref="G22:H22"/>
    <mergeCell ref="I22:J22"/>
    <mergeCell ref="K22:L22"/>
    <mergeCell ref="Q18:R18"/>
    <mergeCell ref="C19:D19"/>
    <mergeCell ref="E19:F19"/>
    <mergeCell ref="G19:H19"/>
    <mergeCell ref="I19:J19"/>
    <mergeCell ref="K19:L19"/>
    <mergeCell ref="M19:N19"/>
    <mergeCell ref="O19:P19"/>
    <mergeCell ref="Q19:R19"/>
    <mergeCell ref="M17:N17"/>
    <mergeCell ref="O17:P17"/>
    <mergeCell ref="Q17:R17"/>
    <mergeCell ref="C18:D18"/>
    <mergeCell ref="E18:F18"/>
    <mergeCell ref="G18:H18"/>
    <mergeCell ref="I18:J18"/>
    <mergeCell ref="K18:L18"/>
    <mergeCell ref="M18:N18"/>
    <mergeCell ref="O18:P18"/>
    <mergeCell ref="E15:F15"/>
    <mergeCell ref="I15:J15"/>
    <mergeCell ref="M15:N15"/>
    <mergeCell ref="Q15:R15"/>
    <mergeCell ref="A17:B20"/>
    <mergeCell ref="C17:D17"/>
    <mergeCell ref="E17:F17"/>
    <mergeCell ref="G17:H17"/>
    <mergeCell ref="I17:J17"/>
    <mergeCell ref="K17:L17"/>
    <mergeCell ref="Q13:R13"/>
    <mergeCell ref="C14:D14"/>
    <mergeCell ref="E14:F14"/>
    <mergeCell ref="G14:H14"/>
    <mergeCell ref="I14:J14"/>
    <mergeCell ref="K14:L14"/>
    <mergeCell ref="M14:N14"/>
    <mergeCell ref="O14:P14"/>
    <mergeCell ref="Q14:R14"/>
    <mergeCell ref="M12:N12"/>
    <mergeCell ref="O12:P12"/>
    <mergeCell ref="Q12:R12"/>
    <mergeCell ref="C13:D13"/>
    <mergeCell ref="E13:F13"/>
    <mergeCell ref="G13:H13"/>
    <mergeCell ref="I13:J13"/>
    <mergeCell ref="K13:L13"/>
    <mergeCell ref="M13:N13"/>
    <mergeCell ref="O13:P13"/>
    <mergeCell ref="E10:F10"/>
    <mergeCell ref="I10:J10"/>
    <mergeCell ref="M10:N10"/>
    <mergeCell ref="Q10:R10"/>
    <mergeCell ref="A12:B15"/>
    <mergeCell ref="C12:D12"/>
    <mergeCell ref="E12:F12"/>
    <mergeCell ref="G12:H12"/>
    <mergeCell ref="I12:J12"/>
    <mergeCell ref="K12:L12"/>
    <mergeCell ref="Q8:R8"/>
    <mergeCell ref="C9:D9"/>
    <mergeCell ref="E9:F9"/>
    <mergeCell ref="G9:H9"/>
    <mergeCell ref="I9:J9"/>
    <mergeCell ref="K9:L9"/>
    <mergeCell ref="M9:N9"/>
    <mergeCell ref="O9:P9"/>
    <mergeCell ref="Q9:R9"/>
    <mergeCell ref="M7:N7"/>
    <mergeCell ref="O7:P7"/>
    <mergeCell ref="Q7:R7"/>
    <mergeCell ref="C8:D8"/>
    <mergeCell ref="E8:F8"/>
    <mergeCell ref="G8:H8"/>
    <mergeCell ref="I8:J8"/>
    <mergeCell ref="K8:L8"/>
    <mergeCell ref="M8:N8"/>
    <mergeCell ref="O8:P8"/>
    <mergeCell ref="E5:F5"/>
    <mergeCell ref="I5:J5"/>
    <mergeCell ref="M5:N5"/>
    <mergeCell ref="Q5:R5"/>
    <mergeCell ref="A7:B10"/>
    <mergeCell ref="C7:D7"/>
    <mergeCell ref="E7:F7"/>
    <mergeCell ref="G7:H7"/>
    <mergeCell ref="I7:J7"/>
    <mergeCell ref="K7:L7"/>
    <mergeCell ref="Q3:R3"/>
    <mergeCell ref="C4:D4"/>
    <mergeCell ref="E4:F4"/>
    <mergeCell ref="G4:H4"/>
    <mergeCell ref="I4:J4"/>
    <mergeCell ref="K4:L4"/>
    <mergeCell ref="M4:N4"/>
    <mergeCell ref="O4:P4"/>
    <mergeCell ref="Q4:R4"/>
    <mergeCell ref="M2:N2"/>
    <mergeCell ref="O2:P2"/>
    <mergeCell ref="Q2:R2"/>
    <mergeCell ref="C3:D3"/>
    <mergeCell ref="E3:F3"/>
    <mergeCell ref="G3:H3"/>
    <mergeCell ref="I3:J3"/>
    <mergeCell ref="K3:L3"/>
    <mergeCell ref="M3:N3"/>
    <mergeCell ref="O3:P3"/>
    <mergeCell ref="C1:F1"/>
    <mergeCell ref="G1:J1"/>
    <mergeCell ref="K1:N1"/>
    <mergeCell ref="O1:R1"/>
    <mergeCell ref="A2:B5"/>
    <mergeCell ref="C2:D2"/>
    <mergeCell ref="E2:F2"/>
    <mergeCell ref="G2:H2"/>
    <mergeCell ref="I2:J2"/>
    <mergeCell ref="K2:L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abSelected="1" workbookViewId="0">
      <selection sqref="A1:R40"/>
    </sheetView>
  </sheetViews>
  <sheetFormatPr defaultRowHeight="16.5"/>
  <sheetData>
    <row r="1" spans="1:18">
      <c r="A1" s="9"/>
      <c r="B1" s="9"/>
      <c r="C1" s="1" t="s">
        <v>17</v>
      </c>
      <c r="D1" s="1"/>
      <c r="E1" s="1"/>
      <c r="F1" s="1"/>
      <c r="G1" s="1" t="s">
        <v>18</v>
      </c>
      <c r="H1" s="1"/>
      <c r="I1" s="1"/>
      <c r="J1" s="1"/>
      <c r="K1" s="1" t="s">
        <v>19</v>
      </c>
      <c r="L1" s="1"/>
      <c r="M1" s="1"/>
      <c r="N1" s="1"/>
      <c r="O1" s="1" t="s">
        <v>20</v>
      </c>
      <c r="P1" s="1"/>
      <c r="Q1" s="1"/>
      <c r="R1" s="1"/>
    </row>
    <row r="2" spans="1:18">
      <c r="A2" s="1" t="s">
        <v>0</v>
      </c>
      <c r="B2" s="1"/>
      <c r="C2" s="2" t="s">
        <v>1</v>
      </c>
      <c r="D2" s="2"/>
      <c r="E2" s="2" t="s">
        <v>2</v>
      </c>
      <c r="F2" s="2"/>
      <c r="G2" s="3" t="s">
        <v>1</v>
      </c>
      <c r="H2" s="3"/>
      <c r="I2" s="3" t="s">
        <v>2</v>
      </c>
      <c r="J2" s="3"/>
      <c r="K2" s="4" t="s">
        <v>1</v>
      </c>
      <c r="L2" s="4"/>
      <c r="M2" s="4" t="s">
        <v>2</v>
      </c>
      <c r="N2" s="4"/>
      <c r="O2" s="5" t="s">
        <v>1</v>
      </c>
      <c r="P2" s="5"/>
      <c r="Q2" s="5" t="s">
        <v>2</v>
      </c>
      <c r="R2" s="5"/>
    </row>
    <row r="3" spans="1:18">
      <c r="A3" s="1"/>
      <c r="B3" s="1"/>
      <c r="C3" s="6">
        <v>3.3E-3</v>
      </c>
      <c r="D3" s="6"/>
      <c r="E3" s="6">
        <v>32.307400000000001</v>
      </c>
      <c r="F3" s="6"/>
      <c r="G3" s="6">
        <v>6.7000000000000002E-3</v>
      </c>
      <c r="H3" s="6"/>
      <c r="I3" s="6">
        <v>33.523600000000002</v>
      </c>
      <c r="J3" s="6"/>
      <c r="K3" s="13">
        <v>1.2999999999999999E-2</v>
      </c>
      <c r="L3" s="13"/>
      <c r="M3" s="6">
        <v>33.974299999999999</v>
      </c>
      <c r="N3" s="6"/>
      <c r="O3" s="13">
        <v>2.5999999999999999E-2</v>
      </c>
      <c r="P3" s="13"/>
      <c r="Q3" s="6">
        <v>34.227499999999999</v>
      </c>
      <c r="R3" s="6"/>
    </row>
    <row r="4" spans="1:18">
      <c r="A4" s="1"/>
      <c r="B4" s="1"/>
      <c r="C4" s="2" t="s">
        <v>1</v>
      </c>
      <c r="D4" s="2"/>
      <c r="E4" s="2" t="s">
        <v>3</v>
      </c>
      <c r="F4" s="2"/>
      <c r="G4" s="3" t="s">
        <v>1</v>
      </c>
      <c r="H4" s="3"/>
      <c r="I4" s="3" t="s">
        <v>3</v>
      </c>
      <c r="J4" s="3"/>
      <c r="K4" s="4" t="s">
        <v>1</v>
      </c>
      <c r="L4" s="4"/>
      <c r="M4" s="4" t="s">
        <v>3</v>
      </c>
      <c r="N4" s="4"/>
      <c r="O4" s="5" t="s">
        <v>1</v>
      </c>
      <c r="P4" s="5"/>
      <c r="Q4" s="5" t="s">
        <v>3</v>
      </c>
      <c r="R4" s="5"/>
    </row>
    <row r="5" spans="1:18">
      <c r="A5" s="1"/>
      <c r="B5" s="1"/>
      <c r="C5" s="9"/>
      <c r="D5" s="9"/>
      <c r="E5" s="6">
        <v>0.88060000000000005</v>
      </c>
      <c r="F5" s="6"/>
      <c r="G5" s="9"/>
      <c r="H5" s="9"/>
      <c r="I5" s="13">
        <v>0.89759999999999995</v>
      </c>
      <c r="J5" s="13"/>
      <c r="K5" s="9"/>
      <c r="L5" s="9"/>
      <c r="M5" s="13">
        <v>0.90400000000000003</v>
      </c>
      <c r="N5" s="13"/>
      <c r="O5" s="9"/>
      <c r="P5" s="9"/>
      <c r="Q5" s="6">
        <v>0.90959999999999996</v>
      </c>
      <c r="R5" s="6"/>
    </row>
    <row r="6" spans="1:18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>
      <c r="A7" s="1" t="s">
        <v>4</v>
      </c>
      <c r="B7" s="1"/>
      <c r="C7" s="2" t="s">
        <v>1</v>
      </c>
      <c r="D7" s="2"/>
      <c r="E7" s="2" t="s">
        <v>2</v>
      </c>
      <c r="F7" s="2"/>
      <c r="G7" s="3" t="s">
        <v>1</v>
      </c>
      <c r="H7" s="3"/>
      <c r="I7" s="3" t="s">
        <v>2</v>
      </c>
      <c r="J7" s="3"/>
      <c r="K7" s="4" t="s">
        <v>1</v>
      </c>
      <c r="L7" s="4"/>
      <c r="M7" s="4" t="s">
        <v>2</v>
      </c>
      <c r="N7" s="4"/>
      <c r="O7" s="5" t="s">
        <v>1</v>
      </c>
      <c r="P7" s="5"/>
      <c r="Q7" s="5" t="s">
        <v>2</v>
      </c>
      <c r="R7" s="5"/>
    </row>
    <row r="8" spans="1:18">
      <c r="A8" s="1"/>
      <c r="B8" s="1"/>
      <c r="C8" s="6">
        <v>3.5000000000000001E-3</v>
      </c>
      <c r="D8" s="6"/>
      <c r="E8" s="6">
        <v>32.269300000000001</v>
      </c>
      <c r="F8" s="6"/>
      <c r="G8" s="13">
        <v>7.0000000000000001E-3</v>
      </c>
      <c r="H8" s="13"/>
      <c r="I8" s="6">
        <v>36.019100000000002</v>
      </c>
      <c r="J8" s="6"/>
      <c r="K8" s="6">
        <v>1.32E-2</v>
      </c>
      <c r="L8" s="6"/>
      <c r="M8" s="6">
        <v>38.248399999999997</v>
      </c>
      <c r="N8" s="6"/>
      <c r="O8" s="6">
        <v>2.6200000000000001E-2</v>
      </c>
      <c r="P8" s="6"/>
      <c r="Q8" s="6">
        <v>39.870899999999999</v>
      </c>
      <c r="R8" s="6"/>
    </row>
    <row r="9" spans="1:18">
      <c r="A9" s="1"/>
      <c r="B9" s="1"/>
      <c r="C9" s="2" t="s">
        <v>1</v>
      </c>
      <c r="D9" s="2"/>
      <c r="E9" s="2" t="s">
        <v>3</v>
      </c>
      <c r="F9" s="2"/>
      <c r="G9" s="3" t="s">
        <v>1</v>
      </c>
      <c r="H9" s="3"/>
      <c r="I9" s="3" t="s">
        <v>3</v>
      </c>
      <c r="J9" s="3"/>
      <c r="K9" s="4" t="s">
        <v>1</v>
      </c>
      <c r="L9" s="4"/>
      <c r="M9" s="4" t="s">
        <v>3</v>
      </c>
      <c r="N9" s="4"/>
      <c r="O9" s="5" t="s">
        <v>1</v>
      </c>
      <c r="P9" s="5"/>
      <c r="Q9" s="5" t="s">
        <v>3</v>
      </c>
      <c r="R9" s="5"/>
    </row>
    <row r="10" spans="1:18">
      <c r="A10" s="1"/>
      <c r="B10" s="1"/>
      <c r="C10" s="9"/>
      <c r="D10" s="9"/>
      <c r="E10" s="6">
        <v>0.9304</v>
      </c>
      <c r="F10" s="6"/>
      <c r="G10" s="9"/>
      <c r="H10" s="9"/>
      <c r="I10" s="13">
        <v>0.97070000000000001</v>
      </c>
      <c r="J10" s="13"/>
      <c r="K10" s="9"/>
      <c r="L10" s="9"/>
      <c r="M10" s="6">
        <v>0.9819</v>
      </c>
      <c r="N10" s="6"/>
      <c r="O10" s="9"/>
      <c r="P10" s="9"/>
      <c r="Q10" s="6">
        <v>0.9869</v>
      </c>
      <c r="R10" s="6"/>
    </row>
    <row r="11" spans="1:1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>
      <c r="A12" s="1" t="s">
        <v>5</v>
      </c>
      <c r="B12" s="1"/>
      <c r="C12" s="2" t="s">
        <v>1</v>
      </c>
      <c r="D12" s="2"/>
      <c r="E12" s="2" t="s">
        <v>2</v>
      </c>
      <c r="F12" s="2"/>
      <c r="G12" s="3" t="s">
        <v>1</v>
      </c>
      <c r="H12" s="3"/>
      <c r="I12" s="3" t="s">
        <v>2</v>
      </c>
      <c r="J12" s="3"/>
      <c r="K12" s="4" t="s">
        <v>1</v>
      </c>
      <c r="L12" s="4"/>
      <c r="M12" s="4" t="s">
        <v>2</v>
      </c>
      <c r="N12" s="4"/>
      <c r="O12" s="5" t="s">
        <v>1</v>
      </c>
      <c r="P12" s="5"/>
      <c r="Q12" s="5" t="s">
        <v>2</v>
      </c>
      <c r="R12" s="5"/>
    </row>
    <row r="13" spans="1:18">
      <c r="A13" s="1"/>
      <c r="B13" s="1"/>
      <c r="C13" s="6">
        <v>3.7000000000000002E-3</v>
      </c>
      <c r="D13" s="6"/>
      <c r="E13" s="6">
        <v>35.746499999999997</v>
      </c>
      <c r="F13" s="6"/>
      <c r="G13" s="6">
        <v>7.1000000000000004E-3</v>
      </c>
      <c r="H13" s="6"/>
      <c r="I13" s="6">
        <v>39.234699999999997</v>
      </c>
      <c r="J13" s="6"/>
      <c r="K13" s="6">
        <v>1.3299999999999999E-2</v>
      </c>
      <c r="L13" s="6"/>
      <c r="M13" s="6">
        <v>39.643599999999999</v>
      </c>
      <c r="N13" s="6"/>
      <c r="O13" s="6">
        <v>2.64E-2</v>
      </c>
      <c r="P13" s="6"/>
      <c r="Q13" s="6">
        <v>39.766800000000003</v>
      </c>
      <c r="R13" s="6"/>
    </row>
    <row r="14" spans="1:18">
      <c r="A14" s="1"/>
      <c r="B14" s="1"/>
      <c r="C14" s="2" t="s">
        <v>1</v>
      </c>
      <c r="D14" s="2"/>
      <c r="E14" s="2" t="s">
        <v>3</v>
      </c>
      <c r="F14" s="2"/>
      <c r="G14" s="3" t="s">
        <v>1</v>
      </c>
      <c r="H14" s="3"/>
      <c r="I14" s="3" t="s">
        <v>3</v>
      </c>
      <c r="J14" s="3"/>
      <c r="K14" s="4" t="s">
        <v>1</v>
      </c>
      <c r="L14" s="4"/>
      <c r="M14" s="4" t="s">
        <v>3</v>
      </c>
      <c r="N14" s="4"/>
      <c r="O14" s="5" t="s">
        <v>1</v>
      </c>
      <c r="P14" s="5"/>
      <c r="Q14" s="5" t="s">
        <v>3</v>
      </c>
      <c r="R14" s="5"/>
    </row>
    <row r="15" spans="1:18">
      <c r="A15" s="1"/>
      <c r="B15" s="1"/>
      <c r="C15" s="9"/>
      <c r="D15" s="9"/>
      <c r="E15" s="13">
        <v>0.97399999999999998</v>
      </c>
      <c r="F15" s="13"/>
      <c r="G15" s="9"/>
      <c r="H15" s="9"/>
      <c r="I15" s="13">
        <v>0.98470000000000002</v>
      </c>
      <c r="J15" s="13"/>
      <c r="K15" s="9"/>
      <c r="L15" s="9"/>
      <c r="M15" s="6">
        <v>0.98560000000000003</v>
      </c>
      <c r="N15" s="6"/>
      <c r="O15" s="9"/>
      <c r="P15" s="9"/>
      <c r="Q15" s="13">
        <v>0.98599999999999999</v>
      </c>
      <c r="R15" s="13"/>
    </row>
    <row r="16" spans="1:1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>
      <c r="A17" s="1" t="s">
        <v>6</v>
      </c>
      <c r="B17" s="1"/>
      <c r="C17" s="2" t="s">
        <v>1</v>
      </c>
      <c r="D17" s="2"/>
      <c r="E17" s="2" t="s">
        <v>2</v>
      </c>
      <c r="F17" s="2"/>
      <c r="G17" s="3" t="s">
        <v>1</v>
      </c>
      <c r="H17" s="3"/>
      <c r="I17" s="3" t="s">
        <v>2</v>
      </c>
      <c r="J17" s="3"/>
      <c r="K17" s="4" t="s">
        <v>1</v>
      </c>
      <c r="L17" s="4"/>
      <c r="M17" s="4" t="s">
        <v>2</v>
      </c>
      <c r="N17" s="4"/>
      <c r="O17" s="5" t="s">
        <v>1</v>
      </c>
      <c r="P17" s="5"/>
      <c r="Q17" s="5" t="s">
        <v>2</v>
      </c>
      <c r="R17" s="5"/>
    </row>
    <row r="18" spans="1:18">
      <c r="A18" s="1"/>
      <c r="B18" s="1"/>
      <c r="C18" s="6">
        <v>3.3999999999999998E-3</v>
      </c>
      <c r="D18" s="6"/>
      <c r="E18" s="6">
        <v>30.544599999999999</v>
      </c>
      <c r="F18" s="6"/>
      <c r="G18" s="6">
        <v>6.7999999999999996E-3</v>
      </c>
      <c r="H18" s="6"/>
      <c r="I18" s="6">
        <v>34.165399999999998</v>
      </c>
      <c r="J18" s="6"/>
      <c r="K18" s="13">
        <v>1.2999999999999999E-2</v>
      </c>
      <c r="L18" s="13"/>
      <c r="M18" s="6">
        <v>36.026200000000003</v>
      </c>
      <c r="N18" s="6"/>
      <c r="O18" s="13">
        <v>2.5999999999999999E-2</v>
      </c>
      <c r="P18" s="13"/>
      <c r="Q18" s="6">
        <v>37.628500000000003</v>
      </c>
      <c r="R18" s="6"/>
    </row>
    <row r="19" spans="1:18">
      <c r="A19" s="1"/>
      <c r="B19" s="1"/>
      <c r="C19" s="2" t="s">
        <v>1</v>
      </c>
      <c r="D19" s="2"/>
      <c r="E19" s="2" t="s">
        <v>3</v>
      </c>
      <c r="F19" s="2"/>
      <c r="G19" s="3" t="s">
        <v>1</v>
      </c>
      <c r="H19" s="3"/>
      <c r="I19" s="3" t="s">
        <v>3</v>
      </c>
      <c r="J19" s="3"/>
      <c r="K19" s="4" t="s">
        <v>1</v>
      </c>
      <c r="L19" s="4"/>
      <c r="M19" s="4" t="s">
        <v>3</v>
      </c>
      <c r="N19" s="4"/>
      <c r="O19" s="5" t="s">
        <v>1</v>
      </c>
      <c r="P19" s="5"/>
      <c r="Q19" s="5" t="s">
        <v>3</v>
      </c>
      <c r="R19" s="5"/>
    </row>
    <row r="20" spans="1:18">
      <c r="A20" s="1"/>
      <c r="B20" s="1"/>
      <c r="C20" s="9"/>
      <c r="D20" s="9"/>
      <c r="E20" s="13">
        <v>0.89</v>
      </c>
      <c r="F20" s="13"/>
      <c r="G20" s="9"/>
      <c r="H20" s="9"/>
      <c r="I20" s="13">
        <v>0.93530000000000002</v>
      </c>
      <c r="J20" s="13"/>
      <c r="K20" s="9"/>
      <c r="L20" s="9"/>
      <c r="M20" s="6">
        <v>0.95240000000000002</v>
      </c>
      <c r="N20" s="6"/>
      <c r="O20" s="9"/>
      <c r="P20" s="9"/>
      <c r="Q20" s="6">
        <v>0.96460000000000001</v>
      </c>
      <c r="R20" s="6"/>
    </row>
    <row r="21" spans="1:18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>
      <c r="A22" s="1" t="s">
        <v>7</v>
      </c>
      <c r="B22" s="1"/>
      <c r="C22" s="2" t="s">
        <v>1</v>
      </c>
      <c r="D22" s="2"/>
      <c r="E22" s="2" t="s">
        <v>2</v>
      </c>
      <c r="F22" s="2"/>
      <c r="G22" s="3" t="s">
        <v>1</v>
      </c>
      <c r="H22" s="3"/>
      <c r="I22" s="3" t="s">
        <v>2</v>
      </c>
      <c r="J22" s="3"/>
      <c r="K22" s="4" t="s">
        <v>1</v>
      </c>
      <c r="L22" s="4"/>
      <c r="M22" s="4" t="s">
        <v>2</v>
      </c>
      <c r="N22" s="4"/>
      <c r="O22" s="5" t="s">
        <v>1</v>
      </c>
      <c r="P22" s="5"/>
      <c r="Q22" s="5" t="s">
        <v>2</v>
      </c>
      <c r="R22" s="5"/>
    </row>
    <row r="23" spans="1:18">
      <c r="A23" s="1"/>
      <c r="B23" s="1"/>
      <c r="C23" s="6">
        <v>3.5000000000000001E-3</v>
      </c>
      <c r="D23" s="6"/>
      <c r="E23" s="6">
        <v>24.6402</v>
      </c>
      <c r="F23" s="6"/>
      <c r="G23" s="13">
        <v>7.0000000000000001E-3</v>
      </c>
      <c r="H23" s="13"/>
      <c r="I23" s="6">
        <v>28.950299999999999</v>
      </c>
      <c r="J23" s="6"/>
      <c r="K23" s="6">
        <v>1.32E-2</v>
      </c>
      <c r="L23" s="6"/>
      <c r="M23" s="6">
        <v>31.6447</v>
      </c>
      <c r="N23" s="6"/>
      <c r="O23" s="6">
        <v>2.6100000000000002E-2</v>
      </c>
      <c r="P23" s="6"/>
      <c r="Q23" s="6">
        <v>34.417999999999999</v>
      </c>
      <c r="R23" s="6"/>
    </row>
    <row r="24" spans="1:18">
      <c r="A24" s="1"/>
      <c r="B24" s="1"/>
      <c r="C24" s="2" t="s">
        <v>1</v>
      </c>
      <c r="D24" s="2"/>
      <c r="E24" s="2" t="s">
        <v>3</v>
      </c>
      <c r="F24" s="2"/>
      <c r="G24" s="3" t="s">
        <v>1</v>
      </c>
      <c r="H24" s="3"/>
      <c r="I24" s="3" t="s">
        <v>3</v>
      </c>
      <c r="J24" s="3"/>
      <c r="K24" s="4" t="s">
        <v>1</v>
      </c>
      <c r="L24" s="4"/>
      <c r="M24" s="4" t="s">
        <v>3</v>
      </c>
      <c r="N24" s="4"/>
      <c r="O24" s="5" t="s">
        <v>1</v>
      </c>
      <c r="P24" s="5"/>
      <c r="Q24" s="5" t="s">
        <v>3</v>
      </c>
      <c r="R24" s="5"/>
    </row>
    <row r="25" spans="1:18">
      <c r="A25" s="1"/>
      <c r="B25" s="1"/>
      <c r="C25" s="9"/>
      <c r="D25" s="9"/>
      <c r="E25" s="6">
        <v>0.85329999999999995</v>
      </c>
      <c r="F25" s="6"/>
      <c r="G25" s="9"/>
      <c r="H25" s="9"/>
      <c r="I25" s="13">
        <v>0.93430000000000002</v>
      </c>
      <c r="J25" s="13"/>
      <c r="K25" s="9"/>
      <c r="L25" s="9"/>
      <c r="M25" s="6">
        <v>0.96189999999999998</v>
      </c>
      <c r="N25" s="6"/>
      <c r="O25" s="9"/>
      <c r="P25" s="9"/>
      <c r="Q25" s="6">
        <v>0.97819999999999996</v>
      </c>
      <c r="R25" s="6"/>
    </row>
    <row r="26" spans="1:18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>
      <c r="A27" s="1" t="s">
        <v>8</v>
      </c>
      <c r="B27" s="1"/>
      <c r="C27" s="2" t="s">
        <v>1</v>
      </c>
      <c r="D27" s="2"/>
      <c r="E27" s="2" t="s">
        <v>2</v>
      </c>
      <c r="F27" s="2"/>
      <c r="G27" s="3" t="s">
        <v>1</v>
      </c>
      <c r="H27" s="3"/>
      <c r="I27" s="3" t="s">
        <v>2</v>
      </c>
      <c r="J27" s="3"/>
      <c r="K27" s="4" t="s">
        <v>1</v>
      </c>
      <c r="L27" s="4"/>
      <c r="M27" s="4" t="s">
        <v>2</v>
      </c>
      <c r="N27" s="4"/>
      <c r="O27" s="5" t="s">
        <v>1</v>
      </c>
      <c r="P27" s="5"/>
      <c r="Q27" s="5" t="s">
        <v>2</v>
      </c>
      <c r="R27" s="5"/>
    </row>
    <row r="28" spans="1:18">
      <c r="A28" s="1"/>
      <c r="B28" s="1"/>
      <c r="C28" s="6">
        <v>6.3E-3</v>
      </c>
      <c r="D28" s="6"/>
      <c r="E28" s="6">
        <v>31.595400000000001</v>
      </c>
      <c r="F28" s="6"/>
      <c r="G28" s="6">
        <v>1.32E-2</v>
      </c>
      <c r="H28" s="6"/>
      <c r="I28" s="6">
        <v>34.3598</v>
      </c>
      <c r="J28" s="6"/>
      <c r="K28" s="6">
        <v>2.5600000000000001E-2</v>
      </c>
      <c r="L28" s="6"/>
      <c r="M28" s="6">
        <v>35.555599999999998</v>
      </c>
      <c r="N28" s="6"/>
      <c r="O28" s="6">
        <v>5.0799999999999998E-2</v>
      </c>
      <c r="P28" s="6"/>
      <c r="Q28" s="6">
        <v>36.654499999999999</v>
      </c>
      <c r="R28" s="6"/>
    </row>
    <row r="29" spans="1:18">
      <c r="A29" s="1"/>
      <c r="B29" s="1"/>
      <c r="C29" s="2" t="s">
        <v>1</v>
      </c>
      <c r="D29" s="2"/>
      <c r="E29" s="2" t="s">
        <v>3</v>
      </c>
      <c r="F29" s="2"/>
      <c r="G29" s="3" t="s">
        <v>1</v>
      </c>
      <c r="H29" s="3"/>
      <c r="I29" s="3" t="s">
        <v>3</v>
      </c>
      <c r="J29" s="3"/>
      <c r="K29" s="4" t="s">
        <v>1</v>
      </c>
      <c r="L29" s="4"/>
      <c r="M29" s="4" t="s">
        <v>3</v>
      </c>
      <c r="N29" s="4"/>
      <c r="O29" s="5" t="s">
        <v>1</v>
      </c>
      <c r="P29" s="5"/>
      <c r="Q29" s="5" t="s">
        <v>3</v>
      </c>
      <c r="R29" s="5"/>
    </row>
    <row r="30" spans="1:18">
      <c r="A30" s="1"/>
      <c r="B30" s="1"/>
      <c r="C30" s="9"/>
      <c r="D30" s="9"/>
      <c r="E30" s="6">
        <v>0.91469999999999996</v>
      </c>
      <c r="F30" s="6"/>
      <c r="G30" s="9"/>
      <c r="H30" s="9"/>
      <c r="I30" s="13">
        <v>0.94669999999999999</v>
      </c>
      <c r="J30" s="13"/>
      <c r="K30" s="9"/>
      <c r="L30" s="9"/>
      <c r="M30" s="6">
        <v>0.96030000000000004</v>
      </c>
      <c r="N30" s="6"/>
      <c r="O30" s="9"/>
      <c r="P30" s="9"/>
      <c r="Q30" s="6">
        <v>0.97070000000000001</v>
      </c>
      <c r="R30" s="6"/>
    </row>
    <row r="31" spans="1:18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>
      <c r="A32" s="1" t="s">
        <v>9</v>
      </c>
      <c r="B32" s="1"/>
      <c r="C32" s="2" t="s">
        <v>1</v>
      </c>
      <c r="D32" s="2"/>
      <c r="E32" s="2" t="s">
        <v>2</v>
      </c>
      <c r="F32" s="2"/>
      <c r="G32" s="3" t="s">
        <v>1</v>
      </c>
      <c r="H32" s="3"/>
      <c r="I32" s="3" t="s">
        <v>2</v>
      </c>
      <c r="J32" s="3"/>
      <c r="K32" s="4" t="s">
        <v>1</v>
      </c>
      <c r="L32" s="4"/>
      <c r="M32" s="4" t="s">
        <v>2</v>
      </c>
      <c r="N32" s="4"/>
      <c r="O32" s="5" t="s">
        <v>1</v>
      </c>
      <c r="P32" s="5"/>
      <c r="Q32" s="5" t="s">
        <v>2</v>
      </c>
      <c r="R32" s="5"/>
    </row>
    <row r="33" spans="1:18">
      <c r="A33" s="1"/>
      <c r="B33" s="1"/>
      <c r="C33" s="6">
        <v>3.5000000000000001E-3</v>
      </c>
      <c r="D33" s="6"/>
      <c r="E33" s="6">
        <v>26.911999999999999</v>
      </c>
      <c r="F33" s="6"/>
      <c r="G33" s="6">
        <v>7.0000000000000001E-3</v>
      </c>
      <c r="H33" s="6"/>
      <c r="I33" s="6">
        <v>29.116900000000001</v>
      </c>
      <c r="J33" s="6"/>
      <c r="K33" s="6">
        <v>1.3100000000000001E-2</v>
      </c>
      <c r="L33" s="6"/>
      <c r="M33" s="6">
        <v>30.7258</v>
      </c>
      <c r="N33" s="6"/>
      <c r="O33" s="6">
        <v>2.6200000000000001E-2</v>
      </c>
      <c r="P33" s="6"/>
      <c r="Q33" s="6">
        <v>32.521599999999999</v>
      </c>
      <c r="R33" s="6"/>
    </row>
    <row r="34" spans="1:18">
      <c r="A34" s="1"/>
      <c r="B34" s="1"/>
      <c r="C34" s="2" t="s">
        <v>1</v>
      </c>
      <c r="D34" s="2"/>
      <c r="E34" s="2" t="s">
        <v>3</v>
      </c>
      <c r="F34" s="2"/>
      <c r="G34" s="3" t="s">
        <v>1</v>
      </c>
      <c r="H34" s="3"/>
      <c r="I34" s="3" t="s">
        <v>3</v>
      </c>
      <c r="J34" s="3"/>
      <c r="K34" s="4" t="s">
        <v>1</v>
      </c>
      <c r="L34" s="4"/>
      <c r="M34" s="4" t="s">
        <v>3</v>
      </c>
      <c r="N34" s="4"/>
      <c r="O34" s="5" t="s">
        <v>1</v>
      </c>
      <c r="P34" s="5"/>
      <c r="Q34" s="5" t="s">
        <v>3</v>
      </c>
      <c r="R34" s="5"/>
    </row>
    <row r="35" spans="1:18">
      <c r="A35" s="1"/>
      <c r="B35" s="1"/>
      <c r="C35" s="9"/>
      <c r="D35" s="9"/>
      <c r="E35" s="13">
        <v>0.85</v>
      </c>
      <c r="F35" s="13"/>
      <c r="G35" s="9"/>
      <c r="H35" s="9"/>
      <c r="I35" s="13">
        <v>0.90849999999999997</v>
      </c>
      <c r="J35" s="13"/>
      <c r="K35" s="9"/>
      <c r="L35" s="9"/>
      <c r="M35" s="6">
        <v>0.93640000000000001</v>
      </c>
      <c r="N35" s="6"/>
      <c r="O35" s="9"/>
      <c r="P35" s="9"/>
      <c r="Q35" s="6">
        <v>0.95760000000000001</v>
      </c>
      <c r="R35" s="6"/>
    </row>
    <row r="36" spans="1:1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>
      <c r="A37" s="1" t="s">
        <v>10</v>
      </c>
      <c r="B37" s="1"/>
      <c r="C37" s="2" t="s">
        <v>1</v>
      </c>
      <c r="D37" s="2"/>
      <c r="E37" s="2" t="s">
        <v>2</v>
      </c>
      <c r="F37" s="2"/>
      <c r="G37" s="3" t="s">
        <v>1</v>
      </c>
      <c r="H37" s="3"/>
      <c r="I37" s="3" t="s">
        <v>2</v>
      </c>
      <c r="J37" s="3"/>
      <c r="K37" s="4" t="s">
        <v>1</v>
      </c>
      <c r="L37" s="4"/>
      <c r="M37" s="4" t="s">
        <v>2</v>
      </c>
      <c r="N37" s="4"/>
      <c r="O37" s="5" t="s">
        <v>1</v>
      </c>
      <c r="P37" s="5"/>
      <c r="Q37" s="5" t="s">
        <v>2</v>
      </c>
      <c r="R37" s="5"/>
    </row>
    <row r="38" spans="1:18">
      <c r="A38" s="1"/>
      <c r="B38" s="1"/>
      <c r="C38" s="6">
        <f>AVERAGE(C3,C8,C13,C18,C23,C28,C33)</f>
        <v>3.8857142857142862E-3</v>
      </c>
      <c r="D38" s="6"/>
      <c r="E38" s="6">
        <f>AVERAGE(E3,E8,E13,E18,E23,E28,E33)</f>
        <v>30.573628571428571</v>
      </c>
      <c r="F38" s="6"/>
      <c r="G38" s="6">
        <f>AVERAGE(G3,G8,G13,G18,G23,G28,G33)</f>
        <v>7.8285714285714278E-3</v>
      </c>
      <c r="H38" s="6"/>
      <c r="I38" s="6">
        <f>AVERAGE(I3,I8,I13,I18,I23,I28,I33)</f>
        <v>33.62425714285714</v>
      </c>
      <c r="J38" s="6"/>
      <c r="K38" s="6">
        <f>AVERAGE(K3,K8,K13,K18,K23,K28,K33)</f>
        <v>1.4914285714285713E-2</v>
      </c>
      <c r="L38" s="6"/>
      <c r="M38" s="6">
        <f>AVERAGE(M3,M8,M13,M18,M23,M28,M33)</f>
        <v>35.116942857142853</v>
      </c>
      <c r="N38" s="6"/>
      <c r="O38" s="6">
        <f>AVERAGE(O3,O8,O13,O18,O23,O28,O33)</f>
        <v>2.9671428571428571E-2</v>
      </c>
      <c r="P38" s="6"/>
      <c r="Q38" s="6">
        <f>AVERAGE(Q3,Q8,Q13,Q18,Q23,Q28,Q33)</f>
        <v>36.441114285714285</v>
      </c>
      <c r="R38" s="6"/>
    </row>
    <row r="39" spans="1:18">
      <c r="A39" s="1"/>
      <c r="B39" s="1"/>
      <c r="C39" s="2" t="s">
        <v>1</v>
      </c>
      <c r="D39" s="2"/>
      <c r="E39" s="2" t="s">
        <v>3</v>
      </c>
      <c r="F39" s="2"/>
      <c r="G39" s="3" t="s">
        <v>1</v>
      </c>
      <c r="H39" s="3"/>
      <c r="I39" s="3" t="s">
        <v>3</v>
      </c>
      <c r="J39" s="3"/>
      <c r="K39" s="4" t="s">
        <v>1</v>
      </c>
      <c r="L39" s="4"/>
      <c r="M39" s="4" t="s">
        <v>3</v>
      </c>
      <c r="N39" s="4"/>
      <c r="O39" s="5" t="s">
        <v>1</v>
      </c>
      <c r="P39" s="5"/>
      <c r="Q39" s="5" t="s">
        <v>3</v>
      </c>
      <c r="R39" s="5"/>
    </row>
    <row r="40" spans="1:18">
      <c r="A40" s="1"/>
      <c r="B40" s="1"/>
      <c r="C40" s="9"/>
      <c r="D40" s="9"/>
      <c r="E40" s="13">
        <f>AVERAGE(E5,E10,E15,E20,E25,E30,E35)</f>
        <v>0.89899999999999991</v>
      </c>
      <c r="F40" s="13"/>
      <c r="G40" s="9"/>
      <c r="H40" s="9"/>
      <c r="I40" s="16">
        <f>AVERAGE(I5,I10,I15,I20,I25,I30,I35)</f>
        <v>0.93968571428571435</v>
      </c>
      <c r="J40" s="16"/>
      <c r="K40" s="14"/>
      <c r="L40" s="14"/>
      <c r="M40" s="16">
        <f>AVERAGE(M5,M10,M15,M20,M25,M30,M35)</f>
        <v>0.95464285714285713</v>
      </c>
      <c r="N40" s="16"/>
      <c r="O40" s="17"/>
      <c r="P40" s="17"/>
      <c r="Q40" s="16">
        <f>AVERAGE(Q5,Q10,Q15,Q20,Q25,Q30,Q35)</f>
        <v>0.9648000000000001</v>
      </c>
      <c r="R40" s="16"/>
    </row>
  </sheetData>
  <mergeCells count="236">
    <mergeCell ref="E40:F40"/>
    <mergeCell ref="I40:J40"/>
    <mergeCell ref="M40:N40"/>
    <mergeCell ref="Q40:R40"/>
    <mergeCell ref="Q38:R38"/>
    <mergeCell ref="C39:D39"/>
    <mergeCell ref="E39:F39"/>
    <mergeCell ref="G39:H39"/>
    <mergeCell ref="I39:J39"/>
    <mergeCell ref="K39:L39"/>
    <mergeCell ref="M39:N39"/>
    <mergeCell ref="O39:P39"/>
    <mergeCell ref="Q39:R39"/>
    <mergeCell ref="M37:N37"/>
    <mergeCell ref="O37:P37"/>
    <mergeCell ref="Q37:R37"/>
    <mergeCell ref="C38:D38"/>
    <mergeCell ref="E38:F38"/>
    <mergeCell ref="G38:H38"/>
    <mergeCell ref="I38:J38"/>
    <mergeCell ref="K38:L38"/>
    <mergeCell ref="M38:N38"/>
    <mergeCell ref="O38:P38"/>
    <mergeCell ref="E35:F35"/>
    <mergeCell ref="I35:J35"/>
    <mergeCell ref="M35:N35"/>
    <mergeCell ref="Q35:R35"/>
    <mergeCell ref="A37:B40"/>
    <mergeCell ref="C37:D37"/>
    <mergeCell ref="E37:F37"/>
    <mergeCell ref="G37:H37"/>
    <mergeCell ref="I37:J37"/>
    <mergeCell ref="K37:L37"/>
    <mergeCell ref="Q33:R33"/>
    <mergeCell ref="C34:D34"/>
    <mergeCell ref="E34:F34"/>
    <mergeCell ref="G34:H34"/>
    <mergeCell ref="I34:J34"/>
    <mergeCell ref="K34:L34"/>
    <mergeCell ref="M34:N34"/>
    <mergeCell ref="O34:P34"/>
    <mergeCell ref="Q34:R34"/>
    <mergeCell ref="M32:N32"/>
    <mergeCell ref="O32:P32"/>
    <mergeCell ref="Q32:R32"/>
    <mergeCell ref="C33:D33"/>
    <mergeCell ref="E33:F33"/>
    <mergeCell ref="G33:H33"/>
    <mergeCell ref="I33:J33"/>
    <mergeCell ref="K33:L33"/>
    <mergeCell ref="M33:N33"/>
    <mergeCell ref="O33:P33"/>
    <mergeCell ref="E30:F30"/>
    <mergeCell ref="I30:J30"/>
    <mergeCell ref="M30:N30"/>
    <mergeCell ref="Q30:R30"/>
    <mergeCell ref="A32:B35"/>
    <mergeCell ref="C32:D32"/>
    <mergeCell ref="E32:F32"/>
    <mergeCell ref="G32:H32"/>
    <mergeCell ref="I32:J32"/>
    <mergeCell ref="K32:L32"/>
    <mergeCell ref="Q28:R28"/>
    <mergeCell ref="C29:D29"/>
    <mergeCell ref="E29:F29"/>
    <mergeCell ref="G29:H29"/>
    <mergeCell ref="I29:J29"/>
    <mergeCell ref="K29:L29"/>
    <mergeCell ref="M29:N29"/>
    <mergeCell ref="O29:P29"/>
    <mergeCell ref="Q29:R29"/>
    <mergeCell ref="M27:N27"/>
    <mergeCell ref="O27:P27"/>
    <mergeCell ref="Q27:R27"/>
    <mergeCell ref="C28:D28"/>
    <mergeCell ref="E28:F28"/>
    <mergeCell ref="G28:H28"/>
    <mergeCell ref="I28:J28"/>
    <mergeCell ref="K28:L28"/>
    <mergeCell ref="M28:N28"/>
    <mergeCell ref="O28:P28"/>
    <mergeCell ref="E25:F25"/>
    <mergeCell ref="I25:J25"/>
    <mergeCell ref="M25:N25"/>
    <mergeCell ref="Q25:R25"/>
    <mergeCell ref="A27:B30"/>
    <mergeCell ref="C27:D27"/>
    <mergeCell ref="E27:F27"/>
    <mergeCell ref="G27:H27"/>
    <mergeCell ref="I27:J27"/>
    <mergeCell ref="K27:L27"/>
    <mergeCell ref="Q23:R23"/>
    <mergeCell ref="C24:D24"/>
    <mergeCell ref="E24:F24"/>
    <mergeCell ref="G24:H24"/>
    <mergeCell ref="I24:J24"/>
    <mergeCell ref="K24:L24"/>
    <mergeCell ref="M24:N24"/>
    <mergeCell ref="O24:P24"/>
    <mergeCell ref="Q24:R24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E20:F20"/>
    <mergeCell ref="I20:J20"/>
    <mergeCell ref="M20:N20"/>
    <mergeCell ref="Q20:R20"/>
    <mergeCell ref="A22:B25"/>
    <mergeCell ref="C22:D22"/>
    <mergeCell ref="E22:F22"/>
    <mergeCell ref="G22:H22"/>
    <mergeCell ref="I22:J22"/>
    <mergeCell ref="K22:L22"/>
    <mergeCell ref="Q18:R18"/>
    <mergeCell ref="C19:D19"/>
    <mergeCell ref="E19:F19"/>
    <mergeCell ref="G19:H19"/>
    <mergeCell ref="I19:J19"/>
    <mergeCell ref="K19:L19"/>
    <mergeCell ref="M19:N19"/>
    <mergeCell ref="O19:P19"/>
    <mergeCell ref="Q19:R19"/>
    <mergeCell ref="M17:N17"/>
    <mergeCell ref="O17:P17"/>
    <mergeCell ref="Q17:R17"/>
    <mergeCell ref="C18:D18"/>
    <mergeCell ref="E18:F18"/>
    <mergeCell ref="G18:H18"/>
    <mergeCell ref="I18:J18"/>
    <mergeCell ref="K18:L18"/>
    <mergeCell ref="M18:N18"/>
    <mergeCell ref="O18:P18"/>
    <mergeCell ref="E15:F15"/>
    <mergeCell ref="I15:J15"/>
    <mergeCell ref="M15:N15"/>
    <mergeCell ref="Q15:R15"/>
    <mergeCell ref="A17:B20"/>
    <mergeCell ref="C17:D17"/>
    <mergeCell ref="E17:F17"/>
    <mergeCell ref="G17:H17"/>
    <mergeCell ref="I17:J17"/>
    <mergeCell ref="K17:L17"/>
    <mergeCell ref="Q13:R13"/>
    <mergeCell ref="C14:D14"/>
    <mergeCell ref="E14:F14"/>
    <mergeCell ref="G14:H14"/>
    <mergeCell ref="I14:J14"/>
    <mergeCell ref="K14:L14"/>
    <mergeCell ref="M14:N14"/>
    <mergeCell ref="O14:P14"/>
    <mergeCell ref="Q14:R14"/>
    <mergeCell ref="M12:N12"/>
    <mergeCell ref="O12:P12"/>
    <mergeCell ref="Q12:R12"/>
    <mergeCell ref="C13:D13"/>
    <mergeCell ref="E13:F13"/>
    <mergeCell ref="G13:H13"/>
    <mergeCell ref="I13:J13"/>
    <mergeCell ref="K13:L13"/>
    <mergeCell ref="M13:N13"/>
    <mergeCell ref="O13:P13"/>
    <mergeCell ref="E10:F10"/>
    <mergeCell ref="I10:J10"/>
    <mergeCell ref="M10:N10"/>
    <mergeCell ref="Q10:R10"/>
    <mergeCell ref="A12:B15"/>
    <mergeCell ref="C12:D12"/>
    <mergeCell ref="E12:F12"/>
    <mergeCell ref="G12:H12"/>
    <mergeCell ref="I12:J12"/>
    <mergeCell ref="K12:L12"/>
    <mergeCell ref="Q8:R8"/>
    <mergeCell ref="C9:D9"/>
    <mergeCell ref="E9:F9"/>
    <mergeCell ref="G9:H9"/>
    <mergeCell ref="I9:J9"/>
    <mergeCell ref="K9:L9"/>
    <mergeCell ref="M9:N9"/>
    <mergeCell ref="O9:P9"/>
    <mergeCell ref="Q9:R9"/>
    <mergeCell ref="M7:N7"/>
    <mergeCell ref="O7:P7"/>
    <mergeCell ref="Q7:R7"/>
    <mergeCell ref="C8:D8"/>
    <mergeCell ref="E8:F8"/>
    <mergeCell ref="G8:H8"/>
    <mergeCell ref="I8:J8"/>
    <mergeCell ref="K8:L8"/>
    <mergeCell ref="M8:N8"/>
    <mergeCell ref="O8:P8"/>
    <mergeCell ref="E5:F5"/>
    <mergeCell ref="I5:J5"/>
    <mergeCell ref="M5:N5"/>
    <mergeCell ref="Q5:R5"/>
    <mergeCell ref="A7:B10"/>
    <mergeCell ref="C7:D7"/>
    <mergeCell ref="E7:F7"/>
    <mergeCell ref="G7:H7"/>
    <mergeCell ref="I7:J7"/>
    <mergeCell ref="K7:L7"/>
    <mergeCell ref="Q3:R3"/>
    <mergeCell ref="C4:D4"/>
    <mergeCell ref="E4:F4"/>
    <mergeCell ref="G4:H4"/>
    <mergeCell ref="I4:J4"/>
    <mergeCell ref="K4:L4"/>
    <mergeCell ref="M4:N4"/>
    <mergeCell ref="O4:P4"/>
    <mergeCell ref="Q4:R4"/>
    <mergeCell ref="M2:N2"/>
    <mergeCell ref="O2:P2"/>
    <mergeCell ref="Q2:R2"/>
    <mergeCell ref="C3:D3"/>
    <mergeCell ref="E3:F3"/>
    <mergeCell ref="G3:H3"/>
    <mergeCell ref="I3:J3"/>
    <mergeCell ref="K3:L3"/>
    <mergeCell ref="M3:N3"/>
    <mergeCell ref="O3:P3"/>
    <mergeCell ref="C1:F1"/>
    <mergeCell ref="G1:J1"/>
    <mergeCell ref="K1:N1"/>
    <mergeCell ref="O1:R1"/>
    <mergeCell ref="A2:B5"/>
    <mergeCell ref="C2:D2"/>
    <mergeCell ref="E2:F2"/>
    <mergeCell ref="G2:H2"/>
    <mergeCell ref="I2:J2"/>
    <mergeCell ref="K2:L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DCVC</vt:lpstr>
      <vt:lpstr>DCVC-HEM</vt:lpstr>
      <vt:lpstr>x265</vt:lpstr>
      <vt:lpstr>HEVC-HM18.0</vt:lpstr>
      <vt:lpstr>VVC VTM20.0</vt:lpstr>
      <vt:lpstr>HiNeRV (our environment)</vt:lpstr>
      <vt:lpstr>DCM-VideoNet (Ours)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2026-02-03T05:38:46Z</dcterms:modified>
</cp:coreProperties>
</file>